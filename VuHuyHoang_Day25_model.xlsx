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2f7ffc0cd142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_README" sheetId="1" r:id="R7414892f2559450f"/>
    <x:sheet xmlns:r="http://schemas.openxmlformats.org/officeDocument/2006/relationships" name="1_Cost_Job" sheetId="2" r:id="R2e77fea1b7b541d5"/>
    <x:sheet xmlns:r="http://schemas.openxmlformats.org/officeDocument/2006/relationships" name="2_Pricing" sheetId="3" r:id="Rdbd00d93877e43d1"/>
    <x:sheet xmlns:r="http://schemas.openxmlformats.org/officeDocument/2006/relationships" name="3_Value_Metric" sheetId="4" r:id="R43bcc0b63c1a4f10"/>
    <x:sheet xmlns:r="http://schemas.openxmlformats.org/officeDocument/2006/relationships" name="4_Channel_Fit" sheetId="5" r:id="Rd204b31913c34786"/>
    <x:sheet xmlns:r="http://schemas.openxmlformats.org/officeDocument/2006/relationships" name="5_90Day_Plan" sheetId="6" r:id="R62275bc5988f4ab3"/>
    <x:sheet xmlns:r="http://schemas.openxmlformats.org/officeDocument/2006/relationships" name="6_Benchmarks" sheetId="7" r:id="R8ef23be3802f4616"/>
  </x:sheets>
</x:workbook>
</file>

<file path=xl/comments1.xml><?xml version="1.0" encoding="utf-8"?>
<x:comments xmlns:x="http://schemas.openxmlformats.org/spreadsheetml/2006/main">
  <x:authors>
    <x:author>Unknown Author</x:author>
  </x:authors>
  <x:commentList>
    <x:comment ref="B5" authorId="0">
      <x:text>
        <x:r>
          <x:t>Ví dụ mẫu đang điền sẵn — thay bằng sản phẩm của bạn.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<x:sst xmlns:x="http://schemas.openxmlformats.org/spreadsheetml/2006/main">
  <x:si>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DAY 28 — MONETIZATION MODEL</x:t>
  </x:si>
  <x:si>
    <x:t xml:space="preserve">AI Pricing · GTM · Evidence — AI-IN-ACTION Track 1</x:t>
  </x:si>
  <x:si>
    <x:t xml:space="preserve">QUY ƯỚC MÀU — CHỈ ĐIỀN VÀO Ô MÀU VÀNG</x:t>
  </x:si>
  <x:si>
    <x:t xml:space="preserve">Ô VÀNG, chữ xanh dương</x:t>
  </x:si>
  <x:si>
    <x:t xml:space="preserve">Ô bạn phải điền</x:t>
  </x:si>
  <x:si>
    <x:t xml:space="preserve">Ô XÁM, chữ đen</x:t>
  </x:si>
  <x:si>
    <x:t xml:space="preserve">Công thức tự tính — KHÔNG SỬA</x:t>
  </x:si>
  <x:si>
    <x:t xml:space="preserve">Chữ xanh lá</x:t>
  </x:si>
  <x:si>
    <x:t xml:space="preserve">Link sang tab khác</x:t>
  </x:si>
  <x:si>
    <x:t xml:space="preserve">Ô XÁM đậm nhạt</x:t>
  </x:si>
  <x:si>
    <x:t xml:space="preserve">Bảng tham chiếu, chỉ đọc</x:t>
  </x:si>
  <x:si>
    <x:t xml:space="preserve">THỨ TỰ LÀM — 6 TRẠM, 120 PHÚT</x:t>
  </x:si>
  <x:si>
    <x:t xml:space="preserve">Trạm 1 · 15'</x:t>
  </x:si>
  <x:si>
    <x:t xml:space="preserve">Ngân sách khách &amp; định nghĩa Job → điền S1–S2 của tab 1_Cost_Job</x:t>
  </x:si>
  <x:si>
    <x:t xml:space="preserve">Trạm 2 · 20'</x:t>
  </x:si>
  <x:si>
    <x:t xml:space="preserve">Value Metric → tab 3_Value_Metric</x:t>
  </x:si>
  <x:si>
    <x:t xml:space="preserve">Trạm 3 · 30'</x:t>
  </x:si>
  <x:si>
    <x:t xml:space="preserve">Cost/Job, giá sàn &amp; giá trần → tab 1_Cost_Job (S3–S8) rồi 2_Pricing</x:t>
  </x:si>
  <x:si>
    <x:t xml:space="preserve">Trạm 4 · 20'</x:t>
  </x:si>
  <x:si>
    <x:t xml:space="preserve">Kênh phân phối &amp; Affordability Test → tab 4_Channel_Fit</x:t>
  </x:si>
  <x:si>
    <x:t xml:space="preserve">Trạm 5 · 15'</x:t>
  </x:si>
  <x:si>
    <x:t xml:space="preserve">Pain Moment &amp; 90-Day Plan → tab 5_90Day_Plan</x:t>
  </x:si>
  <x:si>
    <x:t xml:space="preserve">Trạm 6 · 20'</x:t>
  </x:si>
  <x:si>
    <x:t xml:space="preserve">Evidence Pack &amp; ráp One-Pager → tab 5_90Day_Plan + file .docx</x:t>
  </x:si>
  <x:si>
    <x:t xml:space="preserve">3 QUY TẮC KHÔNG ĐƯỢC PHÁ</x:t>
  </x:si>
  <x:si>
    <x:t xml:space="preserve">1. Chia cho số job HOÀN THÀNH, không phải số job đã thử.</x:t>
  </x:si>
  <x:si>
    <x:t xml:space="preserve">2. HITL và Retry không được để 0 nếu không có lý do viết ra được.</x:t>
  </x:si>
  <x:si>
    <x:t xml:space="preserve">3. Mọi con số giá API phải có NGÀY kiểm tra (xem tab 6_Benchmarks).</x:t>
  </x:si>
  <x:si>
    <x:t xml:space="preserve">Giá tham chiếu trong workbook này được chốt ngày 26/08/2026. Nhiều mức giá là KHUYẾN MẠI CÓ HẠN.</x:t>
  </x:si>
  <x:si>
    <x:t xml:space="preserve">Bạn PHẢI tự mở lại trang giá của nhà cung cấp và cập nhật — đây là một phần của bài tập.</x:t>
  </x:si>
  <x:si>
    <x:t xml:space="preserve">TAB 1 — COST/JOB CALCULATOR</x:t>
  </x:si>
  <x:si>
    <x:t xml:space="preserve">Trạm 1 (S1–S2) và Trạm 3 (S3–S8). Chỉ điền ô vàng.</x:t>
  </x:si>
  <x:si>
    <x:t xml:space="preserve">S1. ĐỊNH NGHĨA JOB</x:t>
  </x:si>
  <x:si>
    <x:t xml:space="preserve">1 job của bạn là gì?</x:t>
  </x:si>
  <x:si>
    <x:t xml:space="preserve">Biến thể HITL: A hay B?</x:t>
  </x:si>
  <x:si>
    <x:t xml:space="preserve">S2. KHỐI LƯỢNG</x:t>
  </x:si>
  <x:si>
    <x:t xml:space="preserve">Số job THỬ / tháng</x:t>
  </x:si>
  <x:si>
    <x:t xml:space="preserve">job</x:t>
  </x:si>
  <x:si>
    <x:t xml:space="preserve">Containment rate (AI tự làm xong)</x:t>
  </x:si>
  <x:si>
    <x:t xml:space="preserve">→ Số job HOÀN THÀNH / tháng</x:t>
  </x:si>
  <x:si>
    <x:t xml:space="preserve">MẪU SỐ của Cost/Job</x:t>
  </x:si>
  <x:si>
    <x:t xml:space="preserve">→ Số job KHÔNG xong / tháng</x:t>
  </x:si>
  <x:si>
    <x:t xml:space="preserve">Số ca phải escalate</x:t>
  </x:si>
  <x:si>
    <x:t xml:space="preserve">S3. API — LLM</x:t>
  </x:si>
  <x:si>
    <x:t xml:space="preserve">Giá input ($ / 1M token)</x:t>
  </x:si>
  <x:si>
    <x:t xml:space="preserve">Giá output ($ / 1M token)</x:t>
  </x:si>
  <x:si>
    <x:t xml:space="preserve">Giá cache WRITE ($ / 1M token)</x:t>
  </x:si>
  <x:si>
    <x:t xml:space="preserve">Giá cache READ ($ / 1M token)</x:t>
  </x:si>
  <x:si>
    <x:t xml:space="preserve">≈ 0,1× input (giảm 90%)</x:t>
  </x:si>
  <x:si>
    <x:t xml:space="preserve">Số lượt (turns) / job</x:t>
  </x:si>
  <x:si>
    <x:t xml:space="preserve">lượt</x:t>
  </x:si>
  <x:si>
    <x:t xml:space="preserve">Token input CACHE ĐƯỢC / lượt</x:t>
  </x:si>
  <x:si>
    <x:t xml:space="preserve">token</x:t>
  </x:si>
  <x:si>
    <x:t xml:space="preserve">Token input FRESH / lượt</x:t>
  </x:si>
  <x:si>
    <x:t xml:space="preserve">Token output / lượt</x:t>
  </x:si>
  <x:si>
    <x:t xml:space="preserve">→ Cache write / job</x:t>
  </x:si>
  <x:si>
    <x:t xml:space="preserve">→ Cache read / job</x:t>
  </x:si>
  <x:si>
    <x:t xml:space="preserve">→ Input fresh / job</x:t>
  </x:si>
  <x:si>
    <x:t xml:space="preserve">→ Output / job</x:t>
  </x:si>
  <x:si>
    <x:t xml:space="preserve">→ LLM / job — CÓ prompt caching</x:t>
  </x:si>
  <x:si>
    <x:t xml:space="preserve">→ LLM / job — KHÔNG cache</x:t>
  </x:si>
  <x:si>
    <x:t xml:space="preserve">→ % tiết kiệm nhờ caching</x:t>
  </x:si>
  <x:si>
    <x:t xml:space="preserve">Đòn bẩy rẻ nhất bạn có</x:t>
  </x:si>
  <x:si>
    <x:t xml:space="preserve">Dùng Batch API? (1 = có, 0 = không)</x:t>
  </x:si>
  <x:si>
    <x:t xml:space="preserve">Batch giảm 50% — chỉ khi job KHÔNG cần realtime</x:t>
  </x:si>
  <x:si>
    <x:t xml:space="preserve">→ LLM / job sau Batch</x:t>
  </x:si>
  <x:si>
    <x:t xml:space="preserve">S4. API — SPEECH (để 0 nếu sản phẩm không có thoại)</x:t>
  </x:si>
  <x:si>
    <x:t xml:space="preserve">Giá STT ($ / phút)</x:t>
  </x:si>
  <x:si>
    <x:t xml:space="preserve">Số phút audio / job</x:t>
  </x:si>
  <x:si>
    <x:t xml:space="preserve">phút</x:t>
  </x:si>
  <x:si>
    <x:t xml:space="preserve">Giá TTS ($ / 1M ký tự)</x:t>
  </x:si>
  <x:si>
    <x:t xml:space="preserve">Số ký tự TTS / job</x:t>
  </x:si>
  <x:si>
    <x:t xml:space="preserve">ký tự</x:t>
  </x:si>
  <x:si>
    <x:t xml:space="preserve">≈ 900 ký tự cho mỗi phút bot nói</x:t>
  </x:si>
  <x:si>
    <x:t xml:space="preserve">→ Speech / job</x:t>
  </x:si>
  <x:si>
    <x:t xml:space="preserve">S5. INFRA</x:t>
  </x:si>
  <x:si>
    <x:t xml:space="preserve">Infra / job ($)</x:t>
  </x:si>
  <x:si>
    <x:t xml:space="preserve">Telephony ($ / phút)</x:t>
  </x:si>
  <x:si>
    <x:t xml:space="preserve">→ Infra / job</x:t>
  </x:si>
  <x:si>
    <x:t xml:space="preserve">S6. RETRY</x:t>
  </x:si>
  <x:si>
    <x:t xml:space="preserve">Tỷ lệ job phải chạy lại</x:t>
  </x:si>
  <x:si>
    <x:t xml:space="preserve">→ Retry / job</x:t>
  </x:si>
  <x:si>
    <x:t xml:space="preserve">S7. HITL — người trong vòng lặp</x:t>
  </x:si>
  <x:si>
    <x:t xml:space="preserve">Chi phí nhân sự ($ / giờ, fully-loaded)</x:t>
  </x:si>
  <x:si>
    <x:t xml:space="preserve">% hội thoại QA nội bộ</x:t>
  </x:si>
  <x:si>
    <x:t xml:space="preserve">Số phút QA / ca</x:t>
  </x:si>
  <x:si>
    <x:t xml:space="preserve">Số phút xử lý 1 ca escalate</x:t>
  </x:si>
  <x:si>
    <x:t xml:space="preserve">→ QA nội bộ / tháng</x:t>
  </x:si>
  <x:si>
    <x:t xml:space="preserve">→ Escalation / tháng (chỉ Biến thể B)</x:t>
  </x:si>
  <x:si>
    <x:t xml:space="preserve">Biến thể A → 0 vì khách tự chịu</x:t>
  </x:si>
  <x:si>
    <x:t xml:space="preserve">→ Tổng HITL / tháng</x:t>
  </x:si>
  <x:si>
    <x:t xml:space="preserve">S8. OVERHEAD (tuỳ chọn)</x:t>
  </x:si>
  <x:si>
    <x:t xml:space="preserve">R&amp;D + Sales phân bổ / tháng ($)</x:t>
  </x:si>
  <x:si>
    <x:t xml:space="preserve">KẾT QUẢ</x:t>
  </x:si>
  <x:si>
    <x:t xml:space="preserve">Chi phí biến đổi / tháng (API + Speech + Infra + Retry)</x:t>
  </x:si>
  <x:si>
    <x:t xml:space="preserve">HITL / tháng</x:t>
  </x:si>
  <x:si>
    <x:t xml:space="preserve">Overhead / tháng</x:t>
  </x:si>
  <x:si>
    <x:t xml:space="preserve">TỔNG CHI PHÍ / tháng</x:t>
  </x:si>
  <x:si>
    <x:t xml:space="preserve">★ COST/JOB (chưa overhead)</x:t>
  </x:si>
  <x:si>
    <x:t xml:space="preserve">$/job</x:t>
  </x:si>
  <x:si>
    <x:t xml:space="preserve">Con số chảy sang tab 2_Pricing</x:t>
  </x:si>
  <x:si>
    <x:t xml:space="preserve">★ COST/JOB (có overhead)</x:t>
  </x:si>
  <x:si>
    <x:t xml:space="preserve">Tỷ giá (₫ / USD) — giả định</x:t>
  </x:si>
  <x:si>
    <x:t xml:space="preserve">₫/USD</x:t>
  </x:si>
  <x:si>
    <x:t xml:space="preserve">→ Cost/Job quy đổi</x:t>
  </x:si>
  <x:si>
    <x:t xml:space="preserve">₫/job</x:t>
  </x:si>
  <x:si>
    <x:t xml:space="preserve">THÀNH PHẦN NÀO ĂN NHIỀU NHẤT? (kiểm tra nhanh)</x:t>
  </x:si>
  <x:si>
    <x:t xml:space="preserve">LLM</x:t>
  </x:si>
  <x:si>
    <x:t xml:space="preserve">Speech</x:t>
  </x:si>
  <x:si>
    <x:t xml:space="preserve">Infra</x:t>
  </x:si>
  <x:si>
    <x:t xml:space="preserve">Retry</x:t>
  </x:si>
  <x:si>
    <x:t xml:space="preserve">HITL</x:t>
  </x:si>
  <x:si>
    <x:t xml:space="preserve">Overhead</x:t>
  </x:si>
  <x:si>
    <x:t xml:space="preserve">Nếu LLM chiếm &gt;80% thì gần như chắc chắn bạn đang thiếu chi phí ở S5–S7.</x:t>
  </x:si>
  <x:si>
    <x:t xml:space="preserve">TAB 2 — PRICING SANITY CHECK</x:t>
  </x:si>
  <x:si>
    <x:t xml:space="preserve">Trạm 3. Cost/Job tự lấy từ tab 1. Bạn điền giá bán và các con số neo giá.</x:t>
  </x:si>
  <x:si>
    <x:t xml:space="preserve">GIÁ SÀN</x:t>
  </x:si>
  <x:si>
    <x:t xml:space="preserve">Cost/Job (từ tab 1_Cost_Job)</x:t>
  </x:si>
  <x:si>
    <x:t xml:space="preserve">Hệ số an toàn tối thiểu</x:t>
  </x:si>
  <x:si>
    <x:t xml:space="preserve">×</x:t>
  </x:si>
  <x:si>
    <x:t xml:space="preserve">Chuẩn Day 28: giá bán ≥ 3 × Cost/Job</x:t>
  </x:si>
  <x:si>
    <x:t xml:space="preserve">→ GIÁ SÀN</x:t>
  </x:si>
  <x:si>
    <x:t xml:space="preserve">GIÁ TRẦN — NEO THEO THỨ KHÁCH ĐANG CHI</x:t>
  </x:si>
  <x:si>
    <x:t xml:space="preserve">Giá trị khách tiết kiệm được / tháng ($)</x:t>
  </x:si>
  <x:si>
    <x:t xml:space="preserve">Số job / tháng của 1 khách</x:t>
  </x:si>
  <x:si>
    <x:t xml:space="preserve">→ Trần theo giá trị — mức 10%</x:t>
  </x:si>
  <x:si>
    <x:t xml:space="preserve">→ Trần theo giá trị — mức 25%</x:t>
  </x:si>
  <x:si>
    <x:t xml:space="preserve">Lương / tháng của vị trí bị thay ($)</x:t>
  </x:si>
  <x:si>
    <x:t xml:space="preserve">→ Trần theo nhân công — mức 50%</x:t>
  </x:si>
  <x:si>
    <x:t xml:space="preserve">→ Trần theo nhân công — mức 70%</x:t>
  </x:si>
  <x:si>
    <x:t xml:space="preserve">GIÁ BÁN CỦA BẠN</x:t>
  </x:si>
  <x:si>
    <x:t xml:space="preserve">★ Giá bán đề xuất ($ / job)</x:t>
  </x:si>
  <x:si>
    <x:t xml:space="preserve">→ Bội số so với Cost/Job</x:t>
  </x:si>
  <x:si>
    <x:t xml:space="preserve">→ GROSS MARGIN</x:t>
  </x:si>
  <x:si>
    <x:t xml:space="preserve">→ Đèn: bội số ≥ 3?</x:t>
  </x:si>
  <x:si>
    <x:t xml:space="preserve">→ Đèn: Gross Margin</x:t>
  </x:si>
  <x:si>
    <x:t xml:space="preserve">→ Đèn: GM có cao bất thường?</x:t>
  </x:si>
  <x:si>
    <x:t xml:space="preserve">→ Giá bán nằm trong vùng neo?</x:t>
  </x:si>
  <x:si>
    <x:t xml:space="preserve">BREAKEVEN CONTAINMENT — ngưỡng sống còn</x:t>
  </x:si>
  <x:si>
    <x:t xml:space="preserve">Ký hiệu: v = chi phí biến đổi / job thử · q = QA / job thử · e = chi phí 1 ca escalate</x:t>
  </x:si>
  <x:si>
    <x:t xml:space="preserve">v — chi phí biến đổi / job thử</x:t>
  </x:si>
  <x:si>
    <x:t xml:space="preserve">q — QA nội bộ / job thử</x:t>
  </x:si>
  <x:si>
    <x:t xml:space="preserve">e — chi phí 1 ca escalate</x:t>
  </x:si>
  <x:si>
    <x:t xml:space="preserve">Gross Margin mục tiêu</x:t>
  </x:si>
  <x:si>
    <x:t xml:space="preserve">★ Containment tối thiểu cần đạt</x:t>
  </x:si>
  <x:si>
    <x:t xml:space="preserve">Công thức: R ≥ (v+q+e) / (P×(1−GM)+e)</x:t>
  </x:si>
  <x:si>
    <x:t xml:space="preserve">Containment hiện tại (từ tab 1)</x:t>
  </x:si>
  <x:si>
    <x:t xml:space="preserve">→ Kết luận</x:t>
  </x:si>
  <x:si>
    <x:t xml:space="preserve">SENSITIVITY — mô hình gãy ở đâu?</x:t>
  </x:si>
  <x:si>
    <x:t xml:space="preserve">Containment</x:t>
  </x:si>
  <x:si>
    <x:t xml:space="preserve">Cost/Job</x:t>
  </x:si>
  <x:si>
    <x:t xml:space="preserve">Gross Margin</x:t>
  </x:si>
  <x:si>
    <x:t xml:space="preserve">Đánh giá</x:t>
  </x:si>
  <x:si>
    <x:t xml:space="preserve">Nhìn cột Gross Margin: mô hình của bạn mong manh đến mức nào khi AI làm sai nhiều hơn dự kiến?</x:t>
  </x:si>
  <x:si>
    <x:t xml:space="preserve">5 CON SỐ PHẢI MANG SANG ONE-PAGER</x:t>
  </x:si>
  <x:si>
    <x:t xml:space="preserve">Giá sàn (3×)</x:t>
  </x:si>
  <x:si>
    <x:t xml:space="preserve">Giá bán đề xuất</x:t>
  </x:si>
  <x:si>
    <x:t xml:space="preserve">Breakeven containment</x:t>
  </x:si>
  <x:si>
    <x:t xml:space="preserve">TAB 3 — VALUE METRIC SCORECARD</x:t>
  </x:si>
  <x:si>
    <x:t xml:space="preserve">Trạm 2. Chấm 0 / 1 / 2 điểm cho mỗi câu, theo THỰC TẾ HÔM NAY.</x:t>
  </x:si>
  <x:si>
    <x:t xml:space="preserve">A. ATTRIBUTION — bạn đo được kết quả là do AI tạo ra không?</x:t>
  </x:si>
  <x:si>
    <x:t xml:space="preserve">1. Tôi có log đầy đủ mỗi job AI xử lý, gắn được với kết quả cuối cùng</x:t>
  </x:si>
  <x:si>
    <x:t xml:space="preserve">2. Tôi có bộ eval (Day 21–22) đo được tỷ lệ AI làm đúng, có số liệu</x:t>
  </x:si>
  <x:si>
    <x:t xml:space="preserve">3. Khách hàng đồng ý với cách tôi định nghĩa 'thành công' của một job</x:t>
  </x:si>
  <x:si>
    <x:t xml:space="preserve">4. Tôi phân biệt được kết quả do AI tạo ra với kết quả do yếu tố khác</x:t>
  </x:si>
  <x:si>
    <x:t xml:space="preserve">5. Tôi viết được định nghĩa chặt như Intercom: cái gì tính tiền, cái gì không</x:t>
  </x:si>
  <x:si>
    <x:t xml:space="preserve">→ ĐIỂM ATTRIBUTION (tối đa 10)</x:t>
  </x:si>
  <x:si>
    <x:t xml:space="preserve">B. AUTONOMY — AI tự chạy hay cần người?</x:t>
  </x:si>
  <x:si>
    <x:t xml:space="preserve">1. AI hoàn thành job từ đầu đến cuối, không cần người bấm nút giữa chừng</x:t>
  </x:si>
  <x:si>
    <x:t xml:space="preserve">2. Job chạy được ngoài giờ hành chính mà không ai trực</x:t>
  </x:si>
  <x:si>
    <x:t xml:space="preserve">3. Khi AI không chắc, nó tự chuyển tiếp đúng chỗ — không cần người phân loại</x:t>
  </x:si>
  <x:si>
    <x:t xml:space="preserve">4. Tỷ lệ ca phải có người can thiệp dưới 20%</x:t>
  </x:si>
  <x:si>
    <x:t xml:space="preserve">5. Người vận hành chỉ kiểm tra mẫu (QA), không xử lý từng ca</x:t>
  </x:si>
  <x:si>
    <x:t xml:space="preserve">→ ĐIỂM AUTONOMY (tối đa 10)</x:t>
  </x:si>
  <x:si>
    <x:t xml:space="preserve">GỢI Ý CỦA MODEL</x:t>
  </x:si>
  <x:si>
    <x:t xml:space="preserve">→ Value Metric gợi ý</x:t>
  </x:si>
  <x:si>
    <x:t xml:space="preserve">Ngưỡng 7/10 là quy ước của bài tập, không phải chuẩn ngành — dùng để buộc bạn ra quyết định, không phải để thay bạn quyết định.</x:t>
  </x:si>
  <x:si>
    <x:t xml:space="preserve">BENCHMARK NGƯỢC — 2 sản phẩm thật cùng loại job</x:t>
  </x:si>
  <x:si>
    <x:t xml:space="preserve">Tên sản phẩm</x:t>
  </x:si>
  <x:si>
    <x:t xml:space="preserve">Value Metric</x:t>
  </x:si>
  <x:si>
    <x:t xml:space="preserve">Giá công bố</x:t>
  </x:si>
  <x:si>
    <x:t xml:space="preserve">Link nguồn</x:t>
  </x:si>
  <x:si>
    <x:t xml:space="preserve">QUYẾT ĐỊNH CUỐI</x:t>
  </x:si>
  <x:si>
    <x:t xml:space="preserve">Value Metric tôi chọn</x:t>
  </x:si>
  <x:si>
    <x:t xml:space="preserve">Nếu KHÁC gợi ý — lý do thị trường là gì?</x:t>
  </x:si>
  <x:si>
    <x:t xml:space="preserve">Decision Note — câu 1: tôi chọn đơn vị nào?</x:t>
  </x:si>
  <x:si>
    <x:t xml:space="preserve">Decision Note — câu 2: bằng chứng Attribution / Autonomy?</x:t>
  </x:si>
  <x:si>
    <x:t xml:space="preserve">Decision Note — câu 3: mô hình này lỗ trong tình huống nào?</x:t>
  </x:si>
  <x:si>
    <x:t xml:space="preserve">TAB 4 — CHANNEL FIT &amp; AFFORDABILITY TEST</x:t>
  </x:si>
  <x:si>
    <x:t xml:space="preserve">Trạm 4. Chọn ĐÚNG 1 kênh cho 90 ngày đầu — và chứng minh bằng số.</x:t>
  </x:si>
  <x:si>
    <x:t xml:space="preserve">A. NGÂN SÁCH CAC — bạn nuôi nổi kênh nào?</x:t>
  </x:si>
  <x:si>
    <x:t xml:space="preserve">ARPU / tháng ($)</x:t>
  </x:si>
  <x:si>
    <x:t xml:space="preserve">Gross Margin (từ tab 2_Pricing)</x:t>
  </x:si>
  <x:si>
    <x:t xml:space="preserve">Phân khúc (SMB / Mid / Enterprise)</x:t>
  </x:si>
  <x:si>
    <x:t xml:space="preserve">→ CAC payback cho phép (tháng)</x:t>
  </x:si>
  <x:si>
    <x:t xml:space="preserve">tháng</x:t>
  </x:si>
  <x:si>
    <x:t xml:space="preserve">Bessemer, Scaling to $100M (2024)</x:t>
  </x:si>
  <x:si>
    <x:t xml:space="preserve">★ NGÂN SÁCH CAC / khách</x:t>
  </x:si>
  <x:si>
    <x:t xml:space="preserve">ARPU × GM × số tháng payback</x:t>
  </x:si>
  <x:si>
    <x:t xml:space="preserve">→ ACV (giá trị hợp đồng / năm)</x:t>
  </x:si>
  <x:si>
    <x:t xml:space="preserve">B. SALES VIABILITY — một AE phải chốt bao nhiêu deal?</x:t>
  </x:si>
  <x:si>
    <x:t xml:space="preserve">Quota / AE / năm ($)</x:t>
  </x:si>
  <x:si>
    <x:t xml:space="preserve">Số ngày làm việc / năm</x:t>
  </x:si>
  <x:si>
    <x:t xml:space="preserve">ngày</x:t>
  </x:si>
  <x:si>
    <x:t xml:space="preserve">→ Số deal / AE / năm</x:t>
  </x:si>
  <x:si>
    <x:t xml:space="preserve">★ Số deal / AE / NGÀY</x:t>
  </x:si>
  <x:si>
    <x:t xml:space="preserve">deal/ngày</x:t>
  </x:si>
  <x:si>
    <x:t xml:space="preserve">→ Kết luận Sales-Led</x:t>
  </x:si>
  <x:si>
    <x:t xml:space="preserve">C. ĐỐI CHIẾU CAC THỰC TẾ CỦA MOTION CÓ SALES</x:t>
  </x:si>
  <x:si>
    <x:t xml:space="preserve">Cost per opportunity ($)</x:t>
  </x:si>
  <x:si>
    <x:t xml:space="preserve">Win rate</x:t>
  </x:si>
  <x:si>
    <x:t xml:space="preserve">→ CAC thực tế ước tính / khách</x:t>
  </x:si>
  <x:si>
    <x:t xml:space="preserve">★ Lệch bao nhiêu lần so với ngân sách CAC?</x:t>
  </x:si>
  <x:si>
    <x:t xml:space="preserve">Đây là bằng chứng chọn kênh của bạn</x:t>
  </x:si>
  <x:si>
    <x:t xml:space="preserve">D. CHẤM ĐIỂM 3 KÊNH (1 = rất kém, 5 = rất tốt)</x:t>
  </x:si>
  <x:si>
    <x:t xml:space="preserve">Tiêu chí</x:t>
  </x:si>
  <x:si>
    <x:t xml:space="preserve">PLG</x:t>
  </x:si>
  <x:si>
    <x:t xml:space="preserve">Sales-Led</x:t>
  </x:si>
  <x:si>
    <x:t xml:space="preserve">Partner-Led</x:t>
  </x:si>
  <x:si>
    <x:t xml:space="preserve">1. Ngân sách CAC của tôi nuôi nổi kênh này</x:t>
  </x:si>
  <x:si>
    <x:t xml:space="preserve">2. Khách hàng mục tiêu thực sự mua theo cách này</x:t>
  </x:si>
  <x:si>
    <x:t xml:space="preserve">3. Đội hiện tại có năng lực chạy kênh này ngay</x:t>
  </x:si>
  <x:si>
    <x:t xml:space="preserve">4. Tôi tiếp cận được điểm nhúng / partner trong 30 ngày</x:t>
  </x:si>
  <x:si>
    <x:t xml:space="preserve">5. Kênh này đưa tôi đến ĐÚNG Pain Moment</x:t>
  </x:si>
  <x:si>
    <x:t xml:space="preserve">6. Tôi đo được hiệu quả trong vòng 90 ngày</x:t>
  </x:si>
  <x:si>
    <x:t xml:space="preserve">→ TỔNG ĐIỂM</x:t>
  </x:si>
  <x:si>
    <x:t xml:space="preserve">→ Kênh điểm cao nhất</x:t>
  </x:si>
  <x:si>
    <x:t xml:space="preserve">E. CHỐT KÊNH</x:t>
  </x:si>
  <x:si>
    <x:t xml:space="preserve">★ Kênh tôi chọn cho 90 ngày đầu</x:t>
  </x:si>
  <x:si>
    <x:t xml:space="preserve">ĐÚNG 1 kênh. Chọn 2 kênh trở lên bị trừ điểm.</x:t>
  </x:si>
  <x:si>
    <x:t xml:space="preserve">Nếu Partner-Led: TÊN CÔNG TY partner</x:t>
  </x:si>
  <x:si>
    <x:t xml:space="preserve">'Các nền tảng trong ngành' = chưa có kênh</x:t>
  </x:si>
  <x:si>
    <x:t xml:space="preserve">Đã nói chuyện với họ chưa? (Rồi / Chưa)</x:t>
  </x:si>
  <x:si>
    <x:t xml:space="preserve">Bạn mang lại giá trị gì cho partner?</x:t>
  </x:si>
  <x:si>
    <x:t xml:space="preserve">Nếu rơi vào vùng không khả thi — lối thoát nào?</x:t>
  </x:si>
  <x:si>
    <x:t xml:space="preserve">Giảm giá để tự phục vụ / tăng giá + service / Partner-Led</x:t>
  </x:si>
  <x:si>
    <x:t xml:space="preserve">TAB 5 — PAIN MOMENT · 90-DAY PLAN · EVIDENCE PACK</x:t>
  </x:si>
  <x:si>
    <x:t xml:space="preserve">Trạm 5 và Trạm 6.</x:t>
  </x:si>
  <x:si>
    <x:t xml:space="preserve">A. PAIN MOMENT — phải đủ 3 phần</x:t>
  </x:si>
  <x:si>
    <x:t xml:space="preserve">MẤY GIỜ khách đau nhất?</x:t>
  </x:si>
  <x:si>
    <x:t xml:space="preserve">Lúc đó họ ĐANG LÀM GÌ?</x:t>
  </x:si>
  <x:si>
    <x:t xml:space="preserve">Họ đang DÙNG APP / KÊNH NÀO?</x:t>
  </x:si>
  <x:si>
    <x:t xml:space="preserve">→ Điểm nhúng cụ thể của bạn</x:t>
  </x:si>
  <x:si>
    <x:t xml:space="preserve">Một bề mặt tích hợp có tên, không phải 'website của chúng tôi'</x:t>
  </x:si>
  <x:si>
    <x:t xml:space="preserve">B. 90-DAY PLAN</x:t>
  </x:si>
  <x:si>
    <x:t xml:space="preserve">THÁNG 1 — Học</x:t>
  </x:si>
  <x:si>
    <x:t xml:space="preserve">THÁNG 2–3 — Đòn bẩy</x:t>
  </x:si>
  <x:si>
    <x:t xml:space="preserve">THÁNG 4+ — Mở rộng</x:t>
  </x:si>
  <x:si>
    <x:t xml:space="preserve">Kênh sử dụng</x:t>
  </x:si>
  <x:si>
    <x:t xml:space="preserve">Mục tiêu số khách</x:t>
  </x:si>
  <x:si>
    <x:t xml:space="preserve">Việc cụ thể 1</x:t>
  </x:si>
  <x:si>
    <x:t xml:space="preserve">Việc cụ thể 2</x:t>
  </x:si>
  <x:si>
    <x:t xml:space="preserve">Việc cụ thể 3</x:t>
  </x:si>
  <x:si>
    <x:t xml:space="preserve">KPI đo được</x:t>
  </x:si>
  <x:si>
    <x:t xml:space="preserve">Người chịu trách nhiệm</x:t>
  </x:si>
  <x:si>
    <x:t xml:space="preserve">Tháng 1 là giai đoạn HỌC, không phải scale. Kế hoạch 'tháng 1 lấy 200 khách ở 5 ngành' là kế hoạch chưa ai từng thử làm.</x:t>
  </x:si>
  <x:si>
    <x:t xml:space="preserve">C. EVIDENCE PACK — 3 tài sản bán hàng</x:t>
  </x:si>
  <x:si>
    <x:t xml:space="preserve">Tài sản</x:t>
  </x:si>
  <x:si>
    <x:t xml:space="preserve">Đã có? (Rồi/Chưa)</x:t>
  </x:si>
  <x:si>
    <x:t xml:space="preserve">Nội dung 1 câu — hoặc việc cần làm</x:t>
  </x:si>
  <x:si>
    <x:t xml:space="preserve">Người phụ trách · Deadline</x:t>
  </x:si>
  <x:si>
    <x:t xml:space="preserve">1. Eval Results (Day 21–22)</x:t>
  </x:si>
  <x:si>
    <x:t xml:space="preserve">2. Risk Checklist (Day 24)</x:t>
  </x:si>
  <x:si>
    <x:t xml:space="preserve">3. Pilot Report</x:t>
  </x:si>
  <x:si>
    <x:t xml:space="preserve">Ô nào CHƯA CÓ thì ghi deadline — đừng bỏ trống. Thành thật về khoảng trống được điểm cao hơn bịa nội dung.</x:t>
  </x:si>
  <x:si>
    <x:t xml:space="preserve">D. BÀI TEST NGƯỜI LẠ — nhóm khác đọc One-Pager trong 2 phút</x:t>
  </x:si>
  <x:si>
    <x:t xml:space="preserve">Họ trả lời được: bán gì, cho ai, tính tiền theo đơn vị nào? (Được/Không)</x:t>
  </x:si>
  <x:si>
    <x:t xml:space="preserve">Họ trả lời được: có lãi trên mỗi đơn vị không, số nào chứng minh? (Được/Không)</x:t>
  </x:si>
  <x:si>
    <x:t xml:space="preserve">Họ trả lời được: tiếp cận khách qua đâu, vì sao kênh đó? (Được/Không)</x:t>
  </x:si>
  <x:si>
    <x:t xml:space="preserve">Số câu họ phải hỏi lại (mục tiêu ≤ 3)</x:t>
  </x:si>
  <x:si>
    <x:t xml:space="preserve">TAB 6 — BENCHMARKS (CHỈ ĐỌC)</x:t>
  </x:si>
  <x:si>
    <x:t xml:space="preserve">Giá chốt ngày 26/08/2026. Dòng có ⏳ là GIÁ KHUYẾN MẠI CÓ HẠN — phải kiểm tra lại.</x:t>
  </x:si>
  <x:si>
    <x:t xml:space="preserve">NGÀY BẠN KIỂM TRA LẠI GIÁ</x:t>
  </x:si>
  <x:si>
    <x:t xml:space="preserve">Bắt buộc điền — Rubric có chấm mục này</x:t>
  </x:si>
  <x:si>
    <x:t xml:space="preserve">Nhóm</x:t>
  </x:si>
  <x:si>
    <x:t xml:space="preserve">Mục</x:t>
  </x:si>
  <x:si>
    <x:t xml:space="preserve">Giá</x:t>
  </x:si>
  <x:si>
    <x:t xml:space="preserve">Đơn vị</x:t>
  </x:si>
  <x:si>
    <x:t xml:space="preserve">Nguồn</x:t>
  </x:si>
  <x:si>
    <x:t xml:space="preserve">Claude Opus 5 — input / output</x:t>
  </x:si>
  <x:si>
    <x:t xml:space="preserve">5,00 / 25,00</x:t>
  </x:si>
  <x:si>
    <x:t xml:space="preserve">$ / 1M token</x:t>
  </x:si>
  <x:si>
    <x:t xml:space="preserve">platform.claude.com/docs/en/about-claude/pricing</x:t>
  </x:si>
  <x:si>
    <x:t xml:space="preserve">Claude Sonnet 5 — input / output</x:t>
  </x:si>
  <x:si>
    <x:t xml:space="preserve">2,00 / 10,00</x:t>
  </x:si>
  <x:si>
    <x:t xml:space="preserve">Claude Haiku 4.5 — input / output</x:t>
  </x:si>
  <x:si>
    <x:t xml:space="preserve">1,00 / 5,00</x:t>
  </x:si>
  <x:si>
    <x:t xml:space="preserve">Claude — cache write 5' / cache read</x:t>
  </x:si>
  <x:si>
    <x:t xml:space="preserve">1,25× / 0,10× input</x:t>
  </x:si>
  <x:si>
    <x:t xml:space="preserve">hệ số</x:t>
  </x:si>
  <x:si>
    <x:t xml:space="preserve">⏳ OpenAI GPT-5.6 Sol — input / output</x:t>
  </x:si>
  <x:si>
    <x:t xml:space="preserve">4,00 / 20,00</x:t>
  </x:si>
  <x:si>
    <x:t xml:space="preserve">developers.openai.com/api/docs/pricing (KM 21/08–21/11/2026; list 5,00/30,00)</x:t>
  </x:si>
  <x:si>
    <x:t xml:space="preserve">OpenAI GPT-5.6 Luna — input / output</x:t>
  </x:si>
  <x:si>
    <x:t xml:space="preserve">0,20 / 1,20</x:t>
  </x:si>
  <x:si>
    <x:t xml:space="preserve">developers.openai.com/api/docs/pricing</x:t>
  </x:si>
  <x:si>
    <x:t xml:space="preserve">OpenAI — cached input / Batch API</x:t>
  </x:si>
  <x:si>
    <x:t xml:space="preserve">10% input / −50%</x:t>
  </x:si>
  <x:si>
    <x:t xml:space="preserve">Gemini 3.1 Pro — input / output (≤200k)</x:t>
  </x:si>
  <x:si>
    <x:t xml:space="preserve">2,00 / 12,00</x:t>
  </x:si>
  <x:si>
    <x:t xml:space="preserve">ai.google.dev/gemini-api/docs/pricing</x:t>
  </x:si>
  <x:si>
    <x:t xml:space="preserve">⏳ Gemini 3.7 Flash — input / output</x:t>
  </x:si>
  <x:si>
    <x:t xml:space="preserve">0,75 / 3,75</x:t>
  </x:si>
  <x:si>
    <x:t xml:space="preserve">ai.google.dev/gemini-api/docs/pricing (KM đến 31/12/2026; sau đó 1,50/7,50)</x:t>
  </x:si>
  <x:si>
    <x:t xml:space="preserve">STT</x:t>
  </x:si>
  <x:si>
    <x:t xml:space="preserve">Deepgram Nova-3 — pre-recorded</x:t>
  </x:si>
  <x:si>
    <x:t xml:space="preserve">0,0043</x:t>
  </x:si>
  <x:si>
    <x:t xml:space="preserve">$ / phút</x:t>
  </x:si>
  <x:si>
    <x:t xml:space="preserve">deepgram.com/pricing</x:t>
  </x:si>
  <x:si>
    <x:t xml:space="preserve">⏳ Deepgram Nova-3 — streaming</x:t>
  </x:si>
  <x:si>
    <x:t xml:space="preserve">list 0,0077 · KM 0,0048</x:t>
  </x:si>
  <x:si>
    <x:t xml:space="preserve">deepgram.com/pricing — đang khuyến mại, kiểm tra lại</x:t>
  </x:si>
  <x:si>
    <x:t xml:space="preserve">AssemblyAI Universal-2 — async</x:t>
  </x:si>
  <x:si>
    <x:t xml:space="preserve">0,0025</x:t>
  </x:si>
  <x:si>
    <x:t xml:space="preserve">assemblyai.com/pricing</x:t>
  </x:si>
  <x:si>
    <x:t xml:space="preserve">OpenAI gpt-4o-mini-transcribe</x:t>
  </x:si>
  <x:si>
    <x:t xml:space="preserve">0,0030</x:t>
  </x:si>
  <x:si>
    <x:t xml:space="preserve">TTS</x:t>
  </x:si>
  <x:si>
    <x:t xml:space="preserve">Google Cloud TTS — Standard</x:t>
  </x:si>
  <x:si>
    <x:t xml:space="preserve">4,00</x:t>
  </x:si>
  <x:si>
    <x:t xml:space="preserve">$ / 1M ký tự</x:t>
  </x:si>
  <x:si>
    <x:t xml:space="preserve">cloud.google.com/text-to-speech/pricing (rẻ nhất)</x:t>
  </x:si>
  <x:si>
    <x:t xml:space="preserve">OpenAI tts-1</x:t>
  </x:si>
  <x:si>
    <x:t xml:space="preserve">15,00</x:t>
  </x:si>
  <x:si>
    <x:t xml:space="preserve">ElevenLabs Flash / Turbo</x:t>
  </x:si>
  <x:si>
    <x:t xml:space="preserve">50,00</x:t>
  </x:si>
  <x:si>
    <x:t xml:space="preserve">elevenlabs.io/pricing/api</x:t>
  </x:si>
  <x:si>
    <x:t xml:space="preserve">ElevenLabs v3 / v2 Multilingual</x:t>
  </x:si>
  <x:si>
    <x:t xml:space="preserve">100,00</x:t>
  </x:si>
  <x:si>
    <x:t xml:space="preserve">Quy đổi</x:t>
  </x:si>
  <x:si>
    <x:t xml:space="preserve">Tốc độ nói</x:t>
  </x:si>
  <x:si>
    <x:t xml:space="preserve">≈ 900</x:t>
  </x:si>
  <x:si>
    <x:t xml:space="preserve">ký tự / phút</x:t>
  </x:si>
  <x:si>
    <x:t xml:space="preserve">≈150 từ/phút — dùng để đổi phút ↔ ký tự</x:t>
  </x:si>
  <x:si>
    <x:t xml:space="preserve">Lưu ý</x:t>
  </x:si>
  <x:si>
    <x:t xml:space="preserve">Google TTS — ký tự CJK</x:t>
  </x:si>
  <x:si>
    <x:t xml:space="preserve">tính là 1 ký tự</x:t>
  </x:si>
  <x:si>
    <x:t xml:space="preserve">—</x:t>
  </x:si>
  <x:si>
    <x:t xml:space="preserve">cloud.google.com/text-to-speech/pricing (KHÔNG phải ×2)</x:t>
  </x:si>
  <x:si>
    <x:t xml:space="preserve">Google STT — tính theo kênh</x:t>
  </x:si>
  <x:si>
    <x:t xml:space="preserve">4 kênh × 120s = 480s</x:t>
  </x:si>
  <x:si>
    <x:t xml:space="preserve">cloud.google.com/speech-to-text/pricing</x:t>
  </x:si>
  <x:si>
    <x:t xml:space="preserve">Streaming vs async STT</x:t>
  </x:si>
  <x:si>
    <x:t xml:space="preserve">1× đến ~5×</x:t>
  </x:si>
  <x:si>
    <x:t xml:space="preserve">Tuỳ nhà cung cấp — AssemblyAI 1,0× · Google ~5×. Đừng dùng hệ số chung</x:t>
  </x:si>
  <x:si>
    <x:t xml:space="preserve">Sản phẩm</x:t>
  </x:si>
  <x:si>
    <x:t xml:space="preserve">Intercom Fin — resolution</x:t>
  </x:si>
  <x:si>
    <x:t xml:space="preserve">0,99</x:t>
  </x:si>
  <x:si>
    <x:t xml:space="preserve">$ / outcome</x:t>
  </x:si>
  <x:si>
    <x:t xml:space="preserve">fin.ai/pricing</x:t>
  </x:si>
  <x:si>
    <x:t xml:space="preserve">Intercom Fin — qualification (sales)</x:t>
  </x:si>
  <x:si>
    <x:t xml:space="preserve">9,99</x:t>
  </x:si>
  <x:si>
    <x:t xml:space="preserve">Zendesk — automated resolution</x:t>
  </x:si>
  <x:si>
    <x:t xml:space="preserve">1,50</x:t>
  </x:si>
  <x:si>
    <x:t xml:space="preserve">$ / resolution</x:t>
  </x:si>
  <x:si>
    <x:t xml:space="preserve">zendesk.com/blog/ai/agentic-ai/outcome-based-pricing/ (blog, không trên trang giá)</x:t>
  </x:si>
  <x:si>
    <x:t xml:space="preserve">Salesforce Agentforce — Flex Credit</x:t>
  </x:si>
  <x:si>
    <x:t xml:space="preserve">0,005 (action = 0,10)</x:t>
  </x:si>
  <x:si>
    <x:t xml:space="preserve">$ / credit</x:t>
  </x:si>
  <x:si>
    <x:t xml:space="preserve">salesforce.com/agentforce/pricing</x:t>
  </x:si>
  <x:si>
    <x:t xml:space="preserve">Salesforce Agentforce — conversation</x:t>
  </x:si>
  <x:si>
    <x:t xml:space="preserve">2,00</x:t>
  </x:si>
  <x:si>
    <x:t xml:space="preserve">$ / conversation</x:t>
  </x:si>
  <x:si>
    <x:t xml:space="preserve">GitHub Copilot — AI Credit</x:t>
  </x:si>
  <x:si>
    <x:t xml:space="preserve">0,01</x:t>
  </x:si>
  <x:si>
    <x:t xml:space="preserve">docs.github.com/en/copilot/get-started/plans</x:t>
  </x:si>
  <x:si>
    <x:t xml:space="preserve">GitHub Copilot Business / Enterprise</x:t>
  </x:si>
  <x:si>
    <x:t xml:space="preserve">19 / 39</x:t>
  </x:si>
  <x:si>
    <x:t xml:space="preserve">$ / seat / tháng</x:t>
  </x:si>
  <x:si>
    <x:t xml:space="preserve">Notion — Business / credits</x:t>
  </x:si>
  <x:si>
    <x:t xml:space="preserve">20 / 10 per 1.000</x:t>
  </x:si>
  <x:si>
    <x:t xml:space="preserve">$ / member / tháng</x:t>
  </x:si>
  <x:si>
    <x:t xml:space="preserve">notion.com/pricing</x:t>
  </x:si>
  <x:si>
    <x:t xml:space="preserve">Benchmark</x:t>
  </x:si>
  <x:si>
    <x:t xml:space="preserve">Gross Margin AI-native 2026E</x:t>
  </x:si>
  <x:si>
    <x:t xml:space="preserve">≈ 53%</x:t>
  </x:si>
  <x:si>
    <x:t xml:space="preserve">%</x:t>
  </x:si>
  <x:si>
    <x:t xml:space="preserve">ICONIQ, 2026 State of AI: The Builder's Economy (07/2026)</x:t>
  </x:si>
  <x:si>
    <x:t xml:space="preserve">Gross Margin cloud (middle 50%)</x:t>
  </x:si>
  <x:si>
    <x:t xml:space="preserve">60 – 80%</x:t>
  </x:si>
  <x:si>
    <x:t xml:space="preserve">Bessemer, Scaling to $100 Million (2024)</x:t>
  </x:si>
  <x:si>
    <x:t xml:space="preserve">Vertical AI — GM / model cost</x:t>
  </x:si>
  <x:si>
    <x:t xml:space="preserve">≈65% / ≈10% doanh thu</x:t>
  </x:si>
  <x:si>
    <x:t xml:space="preserve">Bessemer, State of the Cloud 2024</x:t>
  </x:si>
  <x:si>
    <x:t xml:space="preserve">CAC payback SMB / Mid / Enterprise</x:t>
  </x:si>
  <x:si>
    <x:t xml:space="preserve">12 / 18 / 24</x:t>
  </x:si>
  <x:si>
    <x:t xml:space="preserve">LTV : CAC</x:t>
  </x:si>
  <x:si>
    <x:t xml:space="preserve">≥ 3×</x:t>
  </x:si>
  <x:si>
    <x:t xml:space="preserve">lần</x:t>
  </x:si>
  <x:si>
    <x:t xml:space="preserve">David Skok, SaaS Metrics 2.0 (cập nhật 06/2026)</x:t>
  </x:si>
  <x:si>
    <x:t xml:space="preserve">Cost per opportunity 2026 (theo phân khúc)</x:t>
  </x:si>
  <x:si>
    <x:t xml:space="preserve">6.300 · 8.000 · 11.200</x:t>
  </x:si>
  <x:si>
    <x:t xml:space="preserve">$</x:t>
  </x:si>
  <x:si>
    <x:t xml:space="preserve">ICONIQ, State of GTM 2026 (tr.22)</x:t>
  </x:si>
  <x:si>
    <x:t xml:space="preserve">ACV sàn cho inside sales</x:t>
  </x:si>
  <x:si>
    <x:t xml:space="preserve">≈ 3.000</x:t>
  </x:si>
  <x:si>
    <x:t xml:space="preserve">$ / năm</x:t>
  </x:si>
  <x:si>
    <x:t xml:space="preserve">Tomasz Tunguz (2016) — có kèm giả định để tính lại</x:t>
  </x:si>
  <x:si>
    <x:t xml:space="preserve">Lưu ý: trang marketing của nhà cung cấp có thể hiển thị giá cũ hơn trang docs. Ưu tiên trang docs / pricing chính thức.</x:t>
  </x:si>
</x:sst>
</file>

<file path=xl/styles.xml><?xml version="1.0" encoding="utf-8"?>
<x:styleSheet xmlns:x="http://schemas.openxmlformats.org/spreadsheetml/2006/main">
  <x:numFmts count="10">
    <x:numFmt numFmtId="164" formatCode="General"/>
    <x:numFmt numFmtId="165" formatCode="#,##0"/>
    <x:numFmt numFmtId="166" formatCode="0.0%"/>
    <x:numFmt numFmtId="167" formatCode="\$#,##0.00"/>
    <x:numFmt numFmtId="168" formatCode="\$#,##0.0000"/>
    <x:numFmt numFmtId="169" formatCode="#,##0.0"/>
    <x:numFmt numFmtId="170" formatCode="#,##0&quot; ₫&quot;"/>
    <x:numFmt numFmtId="171" formatCode="\$#,##0"/>
    <x:numFmt numFmtId="172" formatCode="#,##0.0\×"/>
    <x:numFmt numFmtId="173" formatCode="#,##0.00"/>
  </x:numFmts>
  <x:fonts count="14">
    <x:font>
      <x:sz val="11"/>
      <x:color theme="1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4"/>
      <x:color rgb="FFFFFFFF"/>
      <x:name val="Arial"/>
    </x:font>
    <x:font>
      <x:i/>
      <x:sz val="9"/>
      <x:color rgb="FF666666"/>
      <x:name val="Arial"/>
    </x:font>
    <x:font>
      <x:b/>
      <x:sz val="11"/>
      <x:color rgb="FF1F2937"/>
      <x:name val="Arial"/>
    </x:font>
    <x:font>
      <x:sz val="10"/>
      <x:color rgb="FF0000FF"/>
      <x:name val="Arial"/>
    </x:font>
    <x:font>
      <x:sz val="10"/>
      <x:name val="Arial"/>
    </x:font>
    <x:font>
      <x:sz val="10"/>
      <x:color rgb="FF008000"/>
      <x:name val="Arial"/>
    </x:font>
    <x:font>
      <x:b/>
      <x:sz val="10"/>
      <x:name val="Arial"/>
    </x:font>
    <x:font>
      <x:b/>
      <x:sz val="11"/>
      <x:color rgb="FFC00000"/>
      <x:name val="Arial"/>
    </x:font>
    <x:font>
      <x:sz val="10"/>
      <x:name val="Arial"/>
    </x:font>
    <x:font>
      <x:b/>
      <x:sz val="10"/>
      <x:color rgb="FFFFFFF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  <x:fill>
      <x:patternFill patternType="solid">
        <x:fgColor rgb="FFEDEDED"/>
      </x:patternFill>
    </x:fill>
    <x:fill>
      <x:patternFill patternType="solid">
        <x:fgColor rgb="FFE8EAF6"/>
      </x:patternFill>
    </x:fill>
  </x:fills>
  <x:borders count="4">
    <x:border diagonalUp="0" diagonalDown="0"/>
    <x:border diagonalUp="0" diagonalDown="0">
      <x:left style="thin">
        <x:color rgb="FFD0D0D0"/>
      </x:left>
      <x:right style="thin">
        <x:color rgb="FFD0D0D0"/>
      </x:right>
      <x:top style="thin">
        <x:color rgb="FFD0D0D0"/>
      </x:top>
      <x:bottom style="thin">
        <x:color rgb="FFD0D0D0"/>
      </x:bottom>
    </x:border>
    <x:border diagonalUp="0" diagonalDown="0"/>
    <x:border diagonalUp="0" diagonalDown="0">
      <x:left style="thin">
        <x:color rgb="FFD0D0D0"/>
      </x:left>
      <x:right style="thin">
        <x:color rgb="FFD0D0D0"/>
      </x:right>
      <x:top style="thin">
        <x:color rgb="FFD0D0D0"/>
      </x:top>
      <x:bottom style="thin">
        <x:color rgb="FFD0D0D0"/>
      </x:bottom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137">
    <x:xf numFmtId="164" fontId="0" fillId="0" borderId="0" xfId="0" applyFont="0" applyBorder="0" applyAlignment="0">
      <x:alignment horizontal="general" vertical="bottom" wrapText="0"/>
    </x:xf>
    <x:xf numFmtId="164" fontId="4" fillId="2" borderId="0" xfId="0" applyFont="1" applyBorder="0" applyAlignment="0">
      <x:alignment horizontal="general" vertical="bottom" wrapText="0"/>
    </x:xf>
    <x:xf numFmtId="164" fontId="0" fillId="2" borderId="0" xfId="0" applyFont="0" applyBorder="0" applyAlignment="0">
      <x:alignment horizontal="general" vertical="bottom" wrapText="0"/>
    </x:xf>
    <x:xf numFmtId="164" fontId="5" fillId="0" borderId="0" xfId="0" applyFont="1" applyBorder="0" applyAlignment="0">
      <x:alignment horizontal="general" vertical="bottom" wrapText="0"/>
    </x:xf>
    <x:xf numFmtId="164" fontId="6" fillId="0" borderId="0" xfId="0" applyFont="1" applyBorder="0" applyAlignment="0">
      <x:alignment horizontal="general" vertical="bottom" wrapText="0"/>
    </x:xf>
    <x:xf numFmtId="164" fontId="7" fillId="3" borderId="1" xfId="0" applyFont="1" applyBorder="1" applyAlignment="0">
      <x:alignment horizontal="general" vertical="bottom" wrapText="0"/>
    </x:xf>
    <x:xf numFmtId="164" fontId="8" fillId="0" borderId="0" xfId="0" applyFont="1" applyBorder="0" applyAlignment="0">
      <x:alignment horizontal="general" vertical="bottom" wrapText="0"/>
    </x:xf>
    <x:xf numFmtId="164" fontId="8" fillId="4" borderId="1" xfId="0" applyFont="1" applyBorder="1" applyAlignment="0">
      <x:alignment horizontal="general" vertical="bottom" wrapText="0"/>
    </x:xf>
    <x:xf numFmtId="164" fontId="9" fillId="0" borderId="1" xfId="0" applyFont="1" applyBorder="1" applyAlignment="0">
      <x:alignment horizontal="general" vertical="bottom" wrapText="0"/>
    </x:xf>
    <x:xf numFmtId="164" fontId="8" fillId="5" borderId="1" xfId="0" applyFont="1" applyBorder="1" applyAlignment="0">
      <x:alignment horizontal="general" vertical="bottom" wrapText="0"/>
    </x:xf>
    <x:xf numFmtId="164" fontId="10" fillId="0" borderId="0" xfId="0" applyFont="1" applyBorder="0" applyAlignment="0">
      <x:alignment horizontal="general" vertical="bottom" wrapText="0"/>
    </x:xf>
    <x:xf numFmtId="164" fontId="6" fillId="6" borderId="0" xfId="0" applyFont="1" applyBorder="0" applyAlignment="0">
      <x:alignment horizontal="general" vertical="bottom" wrapText="0"/>
    </x:xf>
    <x:xf numFmtId="164" fontId="0" fillId="6" borderId="0" xfId="0" applyFont="0" applyBorder="0" applyAlignment="0">
      <x:alignment horizontal="general" vertical="bottom" wrapText="0"/>
    </x:xf>
    <x:xf numFmtId="164" fontId="7" fillId="3" borderId="1" xfId="0" applyFont="1" applyBorder="1" applyAlignment="1">
      <x:alignment horizontal="center" vertical="bottom" wrapText="0"/>
    </x:xf>
    <x:xf numFmtId="165" fontId="7" fillId="3" borderId="1" xfId="0" applyFont="1" applyBorder="1" applyAlignment="0">
      <x:alignment horizontal="general" vertical="bottom" wrapText="0"/>
    </x:xf>
    <x:xf numFmtId="166" fontId="7" fillId="3" borderId="1" xfId="0" applyFont="1" applyBorder="1" applyAlignment="0">
      <x:alignment horizontal="general" vertical="bottom" wrapText="0"/>
    </x:xf>
    <x:xf numFmtId="165" fontId="8" fillId="4" borderId="1" xfId="0" applyFont="1" applyBorder="1" applyAlignment="0">
      <x:alignment horizontal="general" vertical="bottom" wrapText="0"/>
    </x:xf>
    <x:xf numFmtId="167" fontId="7" fillId="3" borderId="1" xfId="0" applyFont="1" applyBorder="1" applyAlignment="0">
      <x:alignment horizontal="general" vertical="bottom" wrapText="0"/>
    </x:xf>
    <x:xf numFmtId="168" fontId="8" fillId="4" borderId="1" xfId="0" applyFont="1" applyBorder="1" applyAlignment="0">
      <x:alignment horizontal="general" vertical="bottom" wrapText="0"/>
    </x:xf>
    <x:xf numFmtId="168" fontId="11" fillId="4" borderId="1" xfId="0" applyFont="1" applyBorder="1" applyAlignment="0">
      <x:alignment horizontal="general" vertical="bottom" wrapText="0"/>
    </x:xf>
    <x:xf numFmtId="166" fontId="8" fillId="4" borderId="1" xfId="0" applyFont="1" applyBorder="1" applyAlignment="0">
      <x:alignment horizontal="general" vertical="bottom" wrapText="0"/>
    </x:xf>
    <x:xf numFmtId="168" fontId="7" fillId="3" borderId="1" xfId="0" applyFont="1" applyBorder="1" applyAlignment="0">
      <x:alignment horizontal="general" vertical="bottom" wrapText="0"/>
    </x:xf>
    <x:xf numFmtId="169" fontId="7" fillId="3" borderId="1" xfId="0" applyFont="1" applyBorder="1" applyAlignment="0">
      <x:alignment horizontal="general" vertical="bottom" wrapText="0"/>
    </x:xf>
    <x:xf numFmtId="167" fontId="8" fillId="4" borderId="1" xfId="0" applyFont="1" applyBorder="1" applyAlignment="0">
      <x:alignment horizontal="general" vertical="bottom" wrapText="0"/>
    </x:xf>
    <x:xf numFmtId="167" fontId="11" fillId="4" borderId="1" xfId="0" applyFont="1" applyBorder="1" applyAlignment="0">
      <x:alignment horizontal="general" vertical="bottom" wrapText="0"/>
    </x:xf>
    <x:xf numFmtId="170" fontId="8" fillId="4" borderId="1" xfId="0" applyFont="1" applyBorder="1" applyAlignment="0">
      <x:alignment horizontal="general" vertical="bottom" wrapText="0"/>
    </x:xf>
    <x:xf numFmtId="168" fontId="9" fillId="4" borderId="1" xfId="0" applyFont="1" applyBorder="1" applyAlignment="0">
      <x:alignment horizontal="general" vertical="bottom" wrapText="0"/>
    </x:xf>
    <x:xf numFmtId="171" fontId="7" fillId="3" borderId="1" xfId="0" applyFont="1" applyBorder="1" applyAlignment="0">
      <x:alignment horizontal="general" vertical="bottom" wrapText="0"/>
    </x:xf>
    <x:xf numFmtId="172" fontId="8" fillId="4" borderId="1" xfId="0" applyFont="1" applyBorder="1" applyAlignment="0">
      <x:alignment horizontal="general" vertical="bottom" wrapText="0"/>
    </x:xf>
    <x:xf numFmtId="166" fontId="11" fillId="4" borderId="1" xfId="0" applyFont="1" applyBorder="1" applyAlignment="0">
      <x:alignment horizontal="general" vertical="bottom" wrapText="0"/>
    </x:xf>
    <x:xf numFmtId="166" fontId="9" fillId="4" borderId="1" xfId="0" applyFont="1" applyBorder="1" applyAlignment="0">
      <x:alignment horizontal="general" vertical="bottom" wrapText="0"/>
    </x:xf>
    <x:xf numFmtId="164" fontId="10" fillId="5" borderId="1" xfId="0" applyFont="1" applyBorder="1" applyAlignment="0">
      <x:alignment horizontal="general" vertical="bottom" wrapText="0"/>
    </x:xf>
    <x:xf numFmtId="166" fontId="8" fillId="5" borderId="1" xfId="0" applyFont="1" applyBorder="1" applyAlignment="0">
      <x:alignment horizontal="general" vertical="bottom" wrapText="0"/>
    </x:xf>
    <x:xf numFmtId="165" fontId="11" fillId="4" borderId="1" xfId="0" applyFont="1" applyBorder="1" applyAlignment="0">
      <x:alignment horizontal="general" vertical="bottom" wrapText="0"/>
    </x:xf>
    <x:xf numFmtId="164" fontId="11" fillId="4" borderId="1" xfId="0" applyFont="1" applyBorder="1" applyAlignment="0">
      <x:alignment horizontal="general" vertical="bottom" wrapText="0"/>
    </x:xf>
    <x:xf numFmtId="171" fontId="11" fillId="4" borderId="1" xfId="0" applyFont="1" applyBorder="1" applyAlignment="0">
      <x:alignment horizontal="general" vertical="bottom" wrapText="0"/>
    </x:xf>
    <x:xf numFmtId="171" fontId="8" fillId="4" borderId="1" xfId="0" applyFont="1" applyBorder="1" applyAlignment="0">
      <x:alignment horizontal="general" vertical="bottom" wrapText="0"/>
    </x:xf>
    <x:xf numFmtId="173" fontId="11" fillId="4" borderId="1" xfId="0" applyFont="1" applyBorder="1" applyAlignment="0">
      <x:alignment horizontal="general" vertical="bottom" wrapText="0"/>
    </x:xf>
    <x:xf numFmtId="172" fontId="11" fillId="4" borderId="1" xfId="0" applyFont="1" applyBorder="1" applyAlignment="0">
      <x:alignment horizontal="general" vertical="bottom" wrapText="0"/>
    </x:xf>
    <x:xf numFmtId="164" fontId="7" fillId="3" borderId="1" xfId="0" applyFont="1" applyBorder="1" applyAlignment="1">
      <x:alignment horizontal="general" vertical="top" wrapText="1"/>
    </x:xf>
    <x:xf numFmtId="164" fontId="13" fillId="2" borderId="1" xfId="0" applyFont="1" applyBorder="1" applyAlignment="0">
      <x:alignment horizontal="general" vertical="bottom" wrapText="0"/>
    </x:xf>
    <x:xf numFmtId="164" fontId="8" fillId="5" borderId="1" xfId="0" applyFont="1" applyBorder="1" applyAlignment="1">
      <x:alignment horizontal="general" vertical="top" wrapText="0"/>
    </x:xf>
    <x:xf numFmtId="164" fontId="5" fillId="5" borderId="1" xfId="0" applyFont="1" applyBorder="1" applyAlignment="1">
      <x:alignment horizontal="general" vertical="top" wrapText="1"/>
    </x:xf>
    <x:xf numFmtId="164" fontId="0" fillId="0" borderId="2" xfId="0" applyNumberFormat="1" applyFont="1" applyFill="1" applyBorder="1" applyAlignment="1">
      <x:alignment horizontal="general" vertical="bottom" wrapText="0"/>
    </x:xf>
    <x:xf numFmtId="164" fontId="4" fillId="2" borderId="2" xfId="0" applyNumberFormat="1" applyFont="1" applyFill="1" applyBorder="1" applyAlignment="1">
      <x:alignment horizontal="general" vertical="bottom" wrapText="0"/>
    </x:xf>
    <x:xf numFmtId="164" fontId="0" fillId="2" borderId="2" xfId="0" applyNumberFormat="1" applyFont="1" applyFill="1" applyBorder="1" applyAlignment="1">
      <x:alignment horizontal="general" vertical="bottom" wrapText="0"/>
    </x:xf>
    <x:xf numFmtId="164" fontId="5" fillId="0" borderId="2" xfId="0" applyNumberFormat="1" applyFont="1" applyFill="1" applyBorder="1" applyAlignment="1">
      <x:alignment horizontal="general" vertical="bottom" wrapText="0"/>
    </x:xf>
    <x:xf numFmtId="164" fontId="6" fillId="0" borderId="2" xfId="0" applyNumberFormat="1" applyFont="1" applyFill="1" applyBorder="1" applyAlignment="1">
      <x:alignment horizontal="general" vertical="bottom" wrapText="0"/>
    </x:xf>
    <x:xf numFmtId="164" fontId="7" fillId="3" borderId="3" xfId="0" applyNumberFormat="1" applyFont="1" applyFill="1" applyBorder="1" applyAlignment="1">
      <x:alignment horizontal="general" vertical="bottom" wrapText="0"/>
    </x:xf>
    <x:xf numFmtId="164" fontId="1" fillId="0" borderId="2" xfId="0" applyNumberFormat="1" applyFont="1" applyFill="1" applyBorder="1" applyAlignment="1">
      <x:alignment horizontal="general" vertical="bottom" wrapText="0"/>
    </x:xf>
    <x:xf numFmtId="164" fontId="1" fillId="4" borderId="3" xfId="0" applyNumberFormat="1" applyFont="1" applyFill="1" applyBorder="1" applyAlignment="1">
      <x:alignment horizontal="general" vertical="bottom" wrapText="0"/>
    </x:xf>
    <x:xf numFmtId="164" fontId="9" fillId="0" borderId="3" xfId="0" applyNumberFormat="1" applyFont="1" applyFill="1" applyBorder="1" applyAlignment="1">
      <x:alignment horizontal="general" vertical="bottom" wrapText="0"/>
    </x:xf>
    <x:xf numFmtId="164" fontId="1" fillId="5" borderId="3" xfId="0" applyNumberFormat="1" applyFont="1" applyFill="1" applyBorder="1" applyAlignment="1">
      <x:alignment horizontal="general" vertical="bottom" wrapText="0"/>
    </x:xf>
    <x:xf numFmtId="164" fontId="10" fillId="0" borderId="2" xfId="0" applyNumberFormat="1" applyFont="1" applyFill="1" applyBorder="1" applyAlignment="1">
      <x:alignment horizontal="general" vertical="bottom" wrapText="0"/>
    </x:xf>
    <x:xf numFmtId="164" fontId="6" fillId="6" borderId="2" xfId="0" applyNumberFormat="1" applyFont="1" applyFill="1" applyBorder="1" applyAlignment="1">
      <x:alignment horizontal="general" vertical="bottom" wrapText="0"/>
    </x:xf>
    <x:xf numFmtId="164" fontId="0" fillId="6" borderId="2" xfId="0" applyNumberFormat="1" applyFont="1" applyFill="1" applyBorder="1" applyAlignment="1">
      <x:alignment horizontal="general" vertical="bottom" wrapText="0"/>
    </x:xf>
    <x:xf numFmtId="164" fontId="7" fillId="3" borderId="3" xfId="0" applyNumberFormat="1" applyFont="1" applyFill="1" applyBorder="1" applyAlignment="1">
      <x:alignment horizontal="center" vertical="bottom" wrapText="0"/>
    </x:xf>
    <x:xf numFmtId="165" fontId="7" fillId="3" borderId="3" xfId="0" applyNumberFormat="1" applyFont="1" applyFill="1" applyBorder="1" applyAlignment="1">
      <x:alignment horizontal="general" vertical="bottom" wrapText="0"/>
    </x:xf>
    <x:xf numFmtId="166" fontId="7" fillId="3" borderId="3" xfId="0" applyNumberFormat="1" applyFont="1" applyFill="1" applyBorder="1" applyAlignment="1">
      <x:alignment horizontal="general" vertical="bottom" wrapText="0"/>
    </x:xf>
    <x:xf numFmtId="165" fontId="1" fillId="4" borderId="3" xfId="0" applyNumberFormat="1" applyFont="1" applyFill="1" applyBorder="1" applyAlignment="1">
      <x:alignment horizontal="general" vertical="bottom" wrapText="0"/>
    </x:xf>
    <x:xf numFmtId="167" fontId="7" fillId="3" borderId="3" xfId="0" applyNumberFormat="1" applyFont="1" applyFill="1" applyBorder="1" applyAlignment="1">
      <x:alignment horizontal="general" vertical="bottom" wrapText="0"/>
    </x:xf>
    <x:xf numFmtId="168" fontId="1" fillId="4" borderId="3" xfId="0" applyNumberFormat="1" applyFont="1" applyFill="1" applyBorder="1" applyAlignment="1">
      <x:alignment horizontal="general" vertical="bottom" wrapText="0"/>
    </x:xf>
    <x:xf numFmtId="168" fontId="11" fillId="4" borderId="3" xfId="0" applyNumberFormat="1" applyFont="1" applyFill="1" applyBorder="1" applyAlignment="1">
      <x:alignment horizontal="general" vertical="bottom" wrapText="0"/>
    </x:xf>
    <x:xf numFmtId="166" fontId="1" fillId="4" borderId="3" xfId="0" applyNumberFormat="1" applyFont="1" applyFill="1" applyBorder="1" applyAlignment="1">
      <x:alignment horizontal="general" vertical="bottom" wrapText="0"/>
    </x:xf>
    <x:xf numFmtId="168" fontId="7" fillId="3" borderId="3" xfId="0" applyNumberFormat="1" applyFont="1" applyFill="1" applyBorder="1" applyAlignment="1">
      <x:alignment horizontal="general" vertical="bottom" wrapText="0"/>
    </x:xf>
    <x:xf numFmtId="169" fontId="7" fillId="3" borderId="3" xfId="0" applyNumberFormat="1" applyFont="1" applyFill="1" applyBorder="1" applyAlignment="1">
      <x:alignment horizontal="general" vertical="bottom" wrapText="0"/>
    </x:xf>
    <x:xf numFmtId="167" fontId="1" fillId="4" borderId="3" xfId="0" applyNumberFormat="1" applyFont="1" applyFill="1" applyBorder="1" applyAlignment="1">
      <x:alignment horizontal="general" vertical="bottom" wrapText="0"/>
    </x:xf>
    <x:xf numFmtId="167" fontId="11" fillId="4" borderId="3" xfId="0" applyNumberFormat="1" applyFont="1" applyFill="1" applyBorder="1" applyAlignment="1">
      <x:alignment horizontal="general" vertical="bottom" wrapText="0"/>
    </x:xf>
    <x:xf numFmtId="170" fontId="1" fillId="4" borderId="3" xfId="0" applyNumberFormat="1" applyFont="1" applyFill="1" applyBorder="1" applyAlignment="1">
      <x:alignment horizontal="general" vertical="bottom" wrapText="0"/>
    </x:xf>
    <x:xf numFmtId="168" fontId="9" fillId="4" borderId="3" xfId="0" applyNumberFormat="1" applyFont="1" applyFill="1" applyBorder="1" applyAlignment="1">
      <x:alignment horizontal="general" vertical="bottom" wrapText="0"/>
    </x:xf>
    <x:xf numFmtId="171" fontId="7" fillId="3" borderId="3" xfId="0" applyNumberFormat="1" applyFont="1" applyFill="1" applyBorder="1" applyAlignment="1">
      <x:alignment horizontal="general" vertical="bottom" wrapText="0"/>
    </x:xf>
    <x:xf numFmtId="172" fontId="1" fillId="4" borderId="3" xfId="0" applyNumberFormat="1" applyFont="1" applyFill="1" applyBorder="1" applyAlignment="1">
      <x:alignment horizontal="general" vertical="bottom" wrapText="0"/>
    </x:xf>
    <x:xf numFmtId="166" fontId="11" fillId="4" borderId="3" xfId="0" applyNumberFormat="1" applyFont="1" applyFill="1" applyBorder="1" applyAlignment="1">
      <x:alignment horizontal="general" vertical="bottom" wrapText="0"/>
    </x:xf>
    <x:xf numFmtId="166" fontId="9" fillId="4" borderId="3" xfId="0" applyNumberFormat="1" applyFont="1" applyFill="1" applyBorder="1" applyAlignment="1">
      <x:alignment horizontal="general" vertical="bottom" wrapText="0"/>
    </x:xf>
    <x:xf numFmtId="164" fontId="10" fillId="5" borderId="3" xfId="0" applyNumberFormat="1" applyFont="1" applyFill="1" applyBorder="1" applyAlignment="1">
      <x:alignment horizontal="general" vertical="bottom" wrapText="0"/>
    </x:xf>
    <x:xf numFmtId="166" fontId="1" fillId="5" borderId="3" xfId="0" applyNumberFormat="1" applyFont="1" applyFill="1" applyBorder="1" applyAlignment="1">
      <x:alignment horizontal="general" vertical="bottom" wrapText="0"/>
    </x:xf>
    <x:xf numFmtId="165" fontId="11" fillId="4" borderId="3" xfId="0" applyNumberFormat="1" applyFont="1" applyFill="1" applyBorder="1" applyAlignment="1">
      <x:alignment horizontal="general" vertical="bottom" wrapText="0"/>
    </x:xf>
    <x:xf numFmtId="164" fontId="11" fillId="4" borderId="3" xfId="0" applyNumberFormat="1" applyFont="1" applyFill="1" applyBorder="1" applyAlignment="1">
      <x:alignment horizontal="general" vertical="bottom" wrapText="0"/>
    </x:xf>
    <x:xf numFmtId="171" fontId="11" fillId="4" borderId="3" xfId="0" applyNumberFormat="1" applyFont="1" applyFill="1" applyBorder="1" applyAlignment="1">
      <x:alignment horizontal="general" vertical="bottom" wrapText="0"/>
    </x:xf>
    <x:xf numFmtId="171" fontId="1" fillId="4" borderId="3" xfId="0" applyNumberFormat="1" applyFont="1" applyFill="1" applyBorder="1" applyAlignment="1">
      <x:alignment horizontal="general" vertical="bottom" wrapText="0"/>
    </x:xf>
    <x:xf numFmtId="173" fontId="11" fillId="4" borderId="3" xfId="0" applyNumberFormat="1" applyFont="1" applyFill="1" applyBorder="1" applyAlignment="1">
      <x:alignment horizontal="general" vertical="bottom" wrapText="0"/>
    </x:xf>
    <x:xf numFmtId="172" fontId="11" fillId="4" borderId="3" xfId="0" applyNumberFormat="1" applyFont="1" applyFill="1" applyBorder="1" applyAlignment="1">
      <x:alignment horizontal="general" vertical="bottom" wrapText="0"/>
    </x:xf>
    <x:xf numFmtId="164" fontId="7" fillId="3" borderId="3" xfId="0" applyNumberFormat="1" applyFont="1" applyFill="1" applyBorder="1" applyAlignment="1">
      <x:alignment horizontal="general" vertical="top" wrapText="1"/>
    </x:xf>
    <x:xf numFmtId="164" fontId="13" fillId="2" borderId="3" xfId="0" applyNumberFormat="1" applyFont="1" applyFill="1" applyBorder="1" applyAlignment="1">
      <x:alignment horizontal="general" vertical="bottom" wrapText="0"/>
    </x:xf>
    <x:xf numFmtId="164" fontId="1" fillId="5" borderId="3" xfId="0" applyNumberFormat="1" applyFont="1" applyFill="1" applyBorder="1" applyAlignment="1">
      <x:alignment horizontal="general" vertical="top" wrapText="0"/>
    </x:xf>
    <x:xf numFmtId="164" fontId="5" fillId="5" borderId="3" xfId="0" applyNumberFormat="1" applyFont="1" applyFill="1" applyBorder="1" applyAlignment="1">
      <x:alignment horizontal="general" vertical="top" wrapText="1"/>
    </x:xf>
    <x:xf numFmtId="164" fontId="7" fillId="3" borderId="1" xfId="0" applyNumberFormat="1" applyFont="1" applyFill="1" applyBorder="1" applyAlignment="1">
      <x:alignment horizontal="general" vertical="bottom" wrapText="1"/>
    </x:xf>
    <x:xf numFmtId="164" fontId="0" fillId="0" borderId="0" xfId="0" applyNumberFormat="1" applyFont="1" applyFill="1" applyBorder="1" applyAlignment="1">
      <x:alignment horizontal="general" vertical="bottom" wrapText="1"/>
    </x:xf>
    <x:xf numFmtId="164" fontId="7" fillId="3" borderId="3" xfId="0" applyNumberFormat="1" applyFont="1" applyFill="1" applyBorder="1" applyAlignment="1">
      <x:alignment horizontal="general" vertical="bottom" wrapText="1"/>
    </x:xf>
    <x:xf numFmtId="164" fontId="0" fillId="0" borderId="2" xfId="0" applyNumberFormat="1" applyFont="1" applyFill="1" applyBorder="1" applyAlignment="1">
      <x:alignment horizontal="general" vertical="bottom" wrapText="1"/>
    </x:xf>
    <x:xf numFmtId="164" fontId="5" fillId="0" borderId="0" xfId="0" applyNumberFormat="1" applyFont="1" applyFill="1" applyBorder="1" applyAlignment="1">
      <x:alignment horizontal="general" vertical="bottom" wrapText="1"/>
    </x:xf>
    <x:xf numFmtId="164" fontId="5" fillId="0" borderId="2" xfId="0" applyNumberFormat="1" applyFont="1" applyFill="1" applyBorder="1" applyAlignment="1">
      <x:alignment horizontal="general" vertical="bottom" wrapText="1"/>
    </x:xf>
    <x:xf numFmtId="166" fontId="0" fillId="0" borderId="0" xfId="0" applyNumberFormat="1" applyFont="1" applyFill="1" applyBorder="1" applyAlignment="1">
      <x:alignment horizontal="general" vertical="bottom" wrapText="0"/>
    </x:xf>
    <x:xf numFmtId="164" fontId="0" fillId="0" borderId="0" xfId="0" applyNumberFormat="1" applyFont="1" applyFill="1" applyBorder="1" applyAlignment="1">
      <x:alignment horizontal="general" vertical="bottom" wrapText="0"/>
    </x:xf>
    <x:xf numFmtId="164" fontId="4" fillId="2" borderId="0" xfId="0" applyNumberFormat="1" applyFont="1" applyFill="1" applyBorder="1" applyAlignment="1">
      <x:alignment horizontal="general" vertical="bottom" wrapText="0"/>
    </x:xf>
    <x:xf numFmtId="164" fontId="0" fillId="2" borderId="0" xfId="0" applyNumberFormat="1" applyFont="1" applyFill="1" applyBorder="1" applyAlignment="1">
      <x:alignment horizontal="general" vertical="bottom" wrapText="0"/>
    </x:xf>
    <x:xf numFmtId="164" fontId="5" fillId="0" borderId="0" xfId="0" applyNumberFormat="1" applyFont="1" applyFill="1" applyBorder="1" applyAlignment="1">
      <x:alignment horizontal="general" vertical="bottom" wrapText="0"/>
    </x:xf>
    <x:xf numFmtId="164" fontId="6" fillId="0" borderId="0" xfId="0" applyNumberFormat="1" applyFont="1" applyFill="1" applyBorder="1" applyAlignment="1">
      <x:alignment horizontal="general" vertical="bottom" wrapText="0"/>
    </x:xf>
    <x:xf numFmtId="164" fontId="7" fillId="3" borderId="1" xfId="0" applyNumberFormat="1" applyFont="1" applyFill="1" applyBorder="1" applyAlignment="1">
      <x:alignment horizontal="general" vertical="bottom" wrapText="0"/>
    </x:xf>
    <x:xf numFmtId="164" fontId="1" fillId="0" borderId="0" xfId="0" applyNumberFormat="1" applyFont="1" applyFill="1" applyBorder="1" applyAlignment="1">
      <x:alignment horizontal="general" vertical="bottom" wrapText="0"/>
    </x:xf>
    <x:xf numFmtId="164" fontId="1" fillId="4" borderId="1" xfId="0" applyNumberFormat="1" applyFont="1" applyFill="1" applyBorder="1" applyAlignment="1">
      <x:alignment horizontal="general" vertical="bottom" wrapText="0"/>
    </x:xf>
    <x:xf numFmtId="164" fontId="9" fillId="0" borderId="1" xfId="0" applyNumberFormat="1" applyFont="1" applyFill="1" applyBorder="1" applyAlignment="1">
      <x:alignment horizontal="general" vertical="bottom" wrapText="0"/>
    </x:xf>
    <x:xf numFmtId="164" fontId="1" fillId="5" borderId="1" xfId="0" applyNumberFormat="1" applyFont="1" applyFill="1" applyBorder="1" applyAlignment="1">
      <x:alignment horizontal="general" vertical="bottom" wrapText="0"/>
    </x:xf>
    <x:xf numFmtId="164" fontId="10" fillId="0" borderId="0" xfId="0" applyNumberFormat="1" applyFont="1" applyFill="1" applyBorder="1" applyAlignment="1">
      <x:alignment horizontal="general" vertical="bottom" wrapText="0"/>
    </x:xf>
    <x:xf numFmtId="164" fontId="6" fillId="6" borderId="0" xfId="0" applyNumberFormat="1" applyFont="1" applyFill="1" applyBorder="1" applyAlignment="1">
      <x:alignment horizontal="general" vertical="bottom" wrapText="0"/>
    </x:xf>
    <x:xf numFmtId="164" fontId="0" fillId="6" borderId="0" xfId="0" applyNumberFormat="1" applyFont="1" applyFill="1" applyBorder="1" applyAlignment="1">
      <x:alignment horizontal="general" vertical="bottom" wrapText="0"/>
    </x:xf>
    <x:xf numFmtId="164" fontId="7" fillId="3" borderId="1" xfId="0" applyNumberFormat="1" applyFont="1" applyFill="1" applyBorder="1" applyAlignment="1">
      <x:alignment horizontal="center" vertical="bottom" wrapText="0"/>
    </x:xf>
    <x:xf numFmtId="165" fontId="7" fillId="3" borderId="1" xfId="0" applyNumberFormat="1" applyFont="1" applyFill="1" applyBorder="1" applyAlignment="1">
      <x:alignment horizontal="general" vertical="bottom" wrapText="0"/>
    </x:xf>
    <x:xf numFmtId="166" fontId="7" fillId="3" borderId="1" xfId="0" applyNumberFormat="1" applyFont="1" applyFill="1" applyBorder="1" applyAlignment="1">
      <x:alignment horizontal="general" vertical="bottom" wrapText="0"/>
    </x:xf>
    <x:xf numFmtId="165" fontId="1" fillId="4" borderId="1" xfId="0" applyNumberFormat="1" applyFont="1" applyFill="1" applyBorder="1" applyAlignment="1">
      <x:alignment horizontal="general" vertical="bottom" wrapText="0"/>
    </x:xf>
    <x:xf numFmtId="167" fontId="7" fillId="3" borderId="1" xfId="0" applyNumberFormat="1" applyFont="1" applyFill="1" applyBorder="1" applyAlignment="1">
      <x:alignment horizontal="general" vertical="bottom" wrapText="0"/>
    </x:xf>
    <x:xf numFmtId="168" fontId="1" fillId="4" borderId="1" xfId="0" applyNumberFormat="1" applyFont="1" applyFill="1" applyBorder="1" applyAlignment="1">
      <x:alignment horizontal="general" vertical="bottom" wrapText="0"/>
    </x:xf>
    <x:xf numFmtId="168" fontId="11" fillId="4" borderId="1" xfId="0" applyNumberFormat="1" applyFont="1" applyFill="1" applyBorder="1" applyAlignment="1">
      <x:alignment horizontal="general" vertical="bottom" wrapText="0"/>
    </x:xf>
    <x:xf numFmtId="166" fontId="1" fillId="4" borderId="1" xfId="0" applyNumberFormat="1" applyFont="1" applyFill="1" applyBorder="1" applyAlignment="1">
      <x:alignment horizontal="general" vertical="bottom" wrapText="0"/>
    </x:xf>
    <x:xf numFmtId="168" fontId="7" fillId="3" borderId="1" xfId="0" applyNumberFormat="1" applyFont="1" applyFill="1" applyBorder="1" applyAlignment="1">
      <x:alignment horizontal="general" vertical="bottom" wrapText="0"/>
    </x:xf>
    <x:xf numFmtId="169" fontId="7" fillId="3" borderId="1" xfId="0" applyNumberFormat="1" applyFont="1" applyFill="1" applyBorder="1" applyAlignment="1">
      <x:alignment horizontal="general" vertical="bottom" wrapText="0"/>
    </x:xf>
    <x:xf numFmtId="167" fontId="1" fillId="4" borderId="1" xfId="0" applyNumberFormat="1" applyFont="1" applyFill="1" applyBorder="1" applyAlignment="1">
      <x:alignment horizontal="general" vertical="bottom" wrapText="0"/>
    </x:xf>
    <x:xf numFmtId="167" fontId="11" fillId="4" borderId="1" xfId="0" applyNumberFormat="1" applyFont="1" applyFill="1" applyBorder="1" applyAlignment="1">
      <x:alignment horizontal="general" vertical="bottom" wrapText="0"/>
    </x:xf>
    <x:xf numFmtId="170" fontId="1" fillId="4" borderId="1" xfId="0" applyNumberFormat="1" applyFont="1" applyFill="1" applyBorder="1" applyAlignment="1">
      <x:alignment horizontal="general" vertical="bottom" wrapText="0"/>
    </x:xf>
    <x:xf numFmtId="168" fontId="9" fillId="4" borderId="1" xfId="0" applyNumberFormat="1" applyFont="1" applyFill="1" applyBorder="1" applyAlignment="1">
      <x:alignment horizontal="general" vertical="bottom" wrapText="0"/>
    </x:xf>
    <x:xf numFmtId="171" fontId="7" fillId="3" borderId="1" xfId="0" applyNumberFormat="1" applyFont="1" applyFill="1" applyBorder="1" applyAlignment="1">
      <x:alignment horizontal="general" vertical="bottom" wrapText="0"/>
    </x:xf>
    <x:xf numFmtId="172" fontId="1" fillId="4" borderId="1" xfId="0" applyNumberFormat="1" applyFont="1" applyFill="1" applyBorder="1" applyAlignment="1">
      <x:alignment horizontal="general" vertical="bottom" wrapText="0"/>
    </x:xf>
    <x:xf numFmtId="166" fontId="11" fillId="4" borderId="1" xfId="0" applyNumberFormat="1" applyFont="1" applyFill="1" applyBorder="1" applyAlignment="1">
      <x:alignment horizontal="general" vertical="bottom" wrapText="0"/>
    </x:xf>
    <x:xf numFmtId="166" fontId="9" fillId="4" borderId="1" xfId="0" applyNumberFormat="1" applyFont="1" applyFill="1" applyBorder="1" applyAlignment="1">
      <x:alignment horizontal="general" vertical="bottom" wrapText="0"/>
    </x:xf>
    <x:xf numFmtId="164" fontId="10" fillId="5" borderId="1" xfId="0" applyNumberFormat="1" applyFont="1" applyFill="1" applyBorder="1" applyAlignment="1">
      <x:alignment horizontal="general" vertical="bottom" wrapText="0"/>
    </x:xf>
    <x:xf numFmtId="166" fontId="1" fillId="5" borderId="1" xfId="0" applyNumberFormat="1" applyFont="1" applyFill="1" applyBorder="1" applyAlignment="1">
      <x:alignment horizontal="general" vertical="bottom" wrapText="0"/>
    </x:xf>
    <x:xf numFmtId="165" fontId="11" fillId="4" borderId="1" xfId="0" applyNumberFormat="1" applyFont="1" applyFill="1" applyBorder="1" applyAlignment="1">
      <x:alignment horizontal="general" vertical="bottom" wrapText="0"/>
    </x:xf>
    <x:xf numFmtId="164" fontId="11" fillId="4" borderId="1" xfId="0" applyNumberFormat="1" applyFont="1" applyFill="1" applyBorder="1" applyAlignment="1">
      <x:alignment horizontal="general" vertical="bottom" wrapText="0"/>
    </x:xf>
    <x:xf numFmtId="171" fontId="11" fillId="4" borderId="1" xfId="0" applyNumberFormat="1" applyFont="1" applyFill="1" applyBorder="1" applyAlignment="1">
      <x:alignment horizontal="general" vertical="bottom" wrapText="0"/>
    </x:xf>
    <x:xf numFmtId="171" fontId="1" fillId="4" borderId="1" xfId="0" applyNumberFormat="1" applyFont="1" applyFill="1" applyBorder="1" applyAlignment="1">
      <x:alignment horizontal="general" vertical="bottom" wrapText="0"/>
    </x:xf>
    <x:xf numFmtId="173" fontId="11" fillId="4" borderId="1" xfId="0" applyNumberFormat="1" applyFont="1" applyFill="1" applyBorder="1" applyAlignment="1">
      <x:alignment horizontal="general" vertical="bottom" wrapText="0"/>
    </x:xf>
    <x:xf numFmtId="172" fontId="11" fillId="4" borderId="1" xfId="0" applyNumberFormat="1" applyFont="1" applyFill="1" applyBorder="1" applyAlignment="1">
      <x:alignment horizontal="general" vertical="bottom" wrapText="0"/>
    </x:xf>
    <x:xf numFmtId="164" fontId="7" fillId="3" borderId="1" xfId="0" applyNumberFormat="1" applyFont="1" applyFill="1" applyBorder="1" applyAlignment="1">
      <x:alignment horizontal="general" vertical="top" wrapText="1"/>
    </x:xf>
    <x:xf numFmtId="164" fontId="13" fillId="2" borderId="1" xfId="0" applyNumberFormat="1" applyFont="1" applyFill="1" applyBorder="1" applyAlignment="1">
      <x:alignment horizontal="general" vertical="bottom" wrapText="0"/>
    </x:xf>
    <x:xf numFmtId="164" fontId="1" fillId="5" borderId="1" xfId="0" applyNumberFormat="1" applyFont="1" applyFill="1" applyBorder="1" applyAlignment="1">
      <x:alignment horizontal="general" vertical="top" wrapText="0"/>
    </x:xf>
    <x:xf numFmtId="164" fontId="5" fillId="5" borderId="1" xfId="0" applyNumberFormat="1" applyFont="1" applyFill="1" applyBorder="1" applyAlignment="1">
      <x:alignment horizontal="general" vertical="top" wrapText="1"/>
    </x:xf>
    <x:xf numFmtId="164" fontId="1" fillId="0" borderId="0" xfId="0" applyNumberFormat="1" applyFont="1" applyFill="1" applyBorder="1" applyAlignment="1">
      <x:alignment horizontal="general" vertical="bottom" wrapText="1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colors>
    <x:indexedColors>
      <x:rgbColor rgb="FF000000"/>
      <x:rgbColor rgb="FFFFFFFF"/>
      <x:rgbColor rgb="FFC0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0C0C0"/>
      <x:rgbColor rgb="FF808080"/>
      <x:rgbColor rgb="FF9999FF"/>
      <x:rgbColor rgb="FF993366"/>
      <x:rgbColor rgb="FFFFF2CC"/>
      <x:rgbColor rgb="FFE8EAF6"/>
      <x:rgbColor rgb="FF660066"/>
      <x:rgbColor rgb="FFFF8080"/>
      <x:rgbColor rgb="FF0066CC"/>
      <x:rgbColor rgb="FFD0D0D0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F2F2F2"/>
      <x:rgbColor rgb="FFEDEDED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66"/>
      <x:rgbColor rgb="FF969696"/>
      <x:rgbColor rgb="FF003366"/>
      <x:rgbColor rgb="FF339966"/>
      <x:rgbColor rgb="FF003300"/>
      <x:rgbColor rgb="FF333300"/>
      <x:rgbColor rgb="FF993300"/>
      <x:rgbColor rgb="FF993366"/>
      <x:rgbColor rgb="FF333399"/>
      <x:rgbColor rgb="FF1F2937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ef5448b73c46e5" /><Relationship Type="http://schemas.openxmlformats.org/officeDocument/2006/relationships/theme" Target="/xl/theme/theme1.xml" Id="Rcbebb2ab6ecd4ace" /><Relationship Type="http://schemas.openxmlformats.org/officeDocument/2006/relationships/sharedStrings" Target="/xl/sharedStrings.xml" Id="R1f8d550cac944b98" /><Relationship Type="http://schemas.openxmlformats.org/officeDocument/2006/relationships/worksheet" Target="/xl/worksheets/sheet1.xml" Id="R7414892f2559450f" /><Relationship Type="http://schemas.openxmlformats.org/officeDocument/2006/relationships/worksheet" Target="/xl/worksheets/sheet2.xml" Id="R2e77fea1b7b541d5" /><Relationship Type="http://schemas.openxmlformats.org/officeDocument/2006/relationships/worksheet" Target="/xl/worksheets/sheet3.xml" Id="Rdbd00d93877e43d1" /><Relationship Type="http://schemas.openxmlformats.org/officeDocument/2006/relationships/worksheet" Target="/xl/worksheets/sheet4.xml" Id="R43bcc0b63c1a4f10" /><Relationship Type="http://schemas.openxmlformats.org/officeDocument/2006/relationships/worksheet" Target="/xl/worksheets/sheet5.xml" Id="Rd204b31913c34786" /><Relationship Type="http://schemas.openxmlformats.org/officeDocument/2006/relationships/worksheet" Target="/xl/worksheets/sheet6.xml" Id="R62275bc5988f4ab3" /><Relationship Type="http://schemas.openxmlformats.org/officeDocument/2006/relationships/worksheet" Target="/xl/worksheets/sheet7.xml" Id="R8ef23be3802f4616" /><Relationship Type="http://schemas.microsoft.com/office/2017/10/relationships/person" Target="/xl/persons/person.xml" Id="R51b9b14dcba1430f" /></Relationships>
</file>

<file path=xl/persons/person.xml><?xml version="1.0" encoding="utf-8"?>
<xltc:personList xmlns:xltc="http://schemas.microsoft.com/office/spreadsheetml/2018/threadedcomments">
  <xltc:person displayName="Unknown Author" id="{B58733AE-F455-C3F6-5975-1E8984D65115}"/>
</xltc:personList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559387493e314947" /><Relationship Type="http://schemas.openxmlformats.org/officeDocument/2006/relationships/vmlDrawing" Target="/xl/drawings/vmldrawing.vml" Id="Raf30c7e50b634755" /></Relationships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52" hidden="0" customWidth="1"/>
    <x:col min="2" max="2" width="62" hidden="0" customWidth="1"/>
    <x:col min="3" max="8" width="15" hidden="0" customWidth="1"/>
  </x:cols>
  <x:sheetData>
    <x:row r="1" ht="24" hidden="0" customHeight="1">
      <x:c r="A1" s="1" t="s">
        <x:v>0</x:v>
      </x:c>
      <x:c r="B1" s="2"/>
      <x:c r="C1" s="2"/>
      <x:c r="D1" s="2"/>
      <x:c r="E1" s="2"/>
      <x:c r="F1" s="2"/>
      <x:c r="G1" s="2"/>
      <x:c r="H1" s="2"/>
    </x:row>
    <x:row r="2" ht="15" hidden="0">
      <x:c r="A2" s="3" t="s">
        <x:v>1</x:v>
      </x:c>
    </x:row>
    <x:row r="4" ht="15" hidden="0">
      <x:c r="A4" s="4" t="s">
        <x:v>2</x:v>
      </x:c>
    </x:row>
    <x:row r="5" ht="15" hidden="0">
      <x:c r="A5" s="5" t="s">
        <x:v>3</x:v>
      </x:c>
      <x:c r="B5" s="6" t="s">
        <x:v>4</x:v>
      </x:c>
    </x:row>
    <x:row r="6" ht="15" hidden="0">
      <x:c r="A6" s="7" t="s">
        <x:v>5</x:v>
      </x:c>
      <x:c r="B6" s="6" t="s">
        <x:v>6</x:v>
      </x:c>
    </x:row>
    <x:row r="7" ht="15" hidden="0">
      <x:c r="A7" s="8" t="s">
        <x:v>7</x:v>
      </x:c>
      <x:c r="B7" s="6" t="s">
        <x:v>8</x:v>
      </x:c>
    </x:row>
    <x:row r="8" ht="15" hidden="0">
      <x:c r="A8" s="9" t="s">
        <x:v>9</x:v>
      </x:c>
      <x:c r="B8" s="6" t="s">
        <x:v>10</x:v>
      </x:c>
    </x:row>
    <x:row r="10" ht="15" hidden="0">
      <x:c r="A10" s="4" t="s">
        <x:v>11</x:v>
      </x:c>
    </x:row>
    <x:row r="11" ht="15" hidden="0">
      <x:c r="A11" s="10" t="s">
        <x:v>12</x:v>
      </x:c>
      <x:c r="B11" s="6" t="s">
        <x:v>13</x:v>
      </x:c>
    </x:row>
    <x:row r="12" ht="15" hidden="0">
      <x:c r="A12" s="10" t="s">
        <x:v>14</x:v>
      </x:c>
      <x:c r="B12" s="6" t="s">
        <x:v>15</x:v>
      </x:c>
    </x:row>
    <x:row r="13" ht="15" hidden="0">
      <x:c r="A13" s="10" t="s">
        <x:v>16</x:v>
      </x:c>
      <x:c r="B13" s="6" t="s">
        <x:v>17</x:v>
      </x:c>
    </x:row>
    <x:row r="14" ht="15" hidden="0">
      <x:c r="A14" s="10" t="s">
        <x:v>18</x:v>
      </x:c>
      <x:c r="B14" s="6" t="s">
        <x:v>19</x:v>
      </x:c>
    </x:row>
    <x:row r="15" ht="15" hidden="0">
      <x:c r="A15" s="10" t="s">
        <x:v>20</x:v>
      </x:c>
      <x:c r="B15" s="6" t="s">
        <x:v>21</x:v>
      </x:c>
    </x:row>
    <x:row r="16" ht="15" hidden="0">
      <x:c r="A16" s="10" t="s">
        <x:v>22</x:v>
      </x:c>
      <x:c r="B16" s="6" t="s">
        <x:v>23</x:v>
      </x:c>
    </x:row>
    <x:row r="18" ht="15" hidden="0">
      <x:c r="A18" s="4" t="s">
        <x:v>24</x:v>
      </x:c>
    </x:row>
    <x:row r="19" ht="15" hidden="0">
      <x:c r="A19" s="6" t="s">
        <x:v>25</x:v>
      </x:c>
    </x:row>
    <x:row r="20" ht="15" hidden="0">
      <x:c r="A20" s="6" t="s">
        <x:v>26</x:v>
      </x:c>
    </x:row>
    <x:row r="21" ht="15" hidden="0">
      <x:c r="A21" s="6" t="s">
        <x:v>27</x:v>
      </x:c>
    </x:row>
    <x:row r="23" ht="15" hidden="0">
      <x:c r="A23" s="3" t="s">
        <x:v>28</x:v>
      </x:c>
    </x:row>
    <x:row r="24" ht="15" hidden="0">
      <x:c r="A24" s="3" t="s">
        <x:v>29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46" hidden="0" customWidth="1"/>
    <x:col min="2" max="3" width="16" hidden="0" customWidth="1"/>
    <x:col min="4" max="4" width="52" hidden="0" customWidth="1"/>
    <x:col min="5" max="8" width="15" hidden="0" customWidth="1"/>
  </x:cols>
  <x:sheetData>
    <x:row r="1" ht="24" hidden="0" customHeight="1">
      <x:c r="A1" s="1" t="s">
        <x:v>30</x:v>
      </x:c>
      <x:c r="B1" s="2"/>
      <x:c r="C1" s="2"/>
      <x:c r="D1" s="2"/>
      <x:c r="E1" s="2"/>
      <x:c r="F1" s="2"/>
      <x:c r="G1" s="2"/>
      <x:c r="H1" s="2"/>
    </x:row>
    <x:row r="2" ht="15" hidden="0">
      <x:c r="A2" s="3" t="s">
        <x:v>31</x:v>
      </x:c>
    </x:row>
    <x:row r="4" ht="15" hidden="0">
      <x:c r="A4" s="11" t="s">
        <x:v>32</x:v>
      </x:c>
      <x:c r="B4" s="12"/>
      <x:c r="C4" s="12"/>
      <x:c r="D4" s="12"/>
      <x:c r="E4" s="12"/>
      <x:c r="F4" s="12"/>
      <x:c r="G4" s="12"/>
      <x:c r="H4" s="12"/>
    </x:row>
    <x:row r="5" ht="34" hidden="0" customHeight="1">
      <x:c r="A5" s="6" t="s">
        <x:v>33</x:v>
      </x:c>
      <x:c r="B5" s="86" t="str">
        <x:v>1 yêu cầu hỗ trợ thực tập được AI giải quyết trọn vẹn bằng câu trả lời grounded/có nguồn, người dùng không cần hỏi lại và không phải chuyển cho staff.</x:v>
      </x:c>
      <x:c r="C5" s="87"/>
      <x:c r="D5" s="3" t="str">
        <x:v>Đếm theo giá trị khách nhận được: resolved support case, không phải API request.</x:v>
      </x:c>
    </x:row>
    <x:row r="6" ht="15" hidden="0">
      <x:c r="A6" s="6" t="s">
        <x:v>34</x:v>
      </x:c>
      <x:c r="B6" s="13" t="str">
        <x:v>A</x:v>
      </x:c>
      <x:c r="D6" s="3" t="str">
        <x:v>Biến thể A: Internova bán software; Career Services xử lý ca escalate. QA nội bộ của Internova vẫn vào COGS.</x:v>
      </x:c>
    </x:row>
    <x:row r="8" ht="15" hidden="0">
      <x:c r="A8" s="11" t="s">
        <x:v>35</x:v>
      </x:c>
      <x:c r="B8" s="12"/>
      <x:c r="C8" s="12"/>
      <x:c r="D8" s="12"/>
      <x:c r="E8" s="12"/>
      <x:c r="F8" s="12"/>
      <x:c r="G8" s="12"/>
      <x:c r="H8" s="12"/>
    </x:row>
    <x:row r="9" ht="15" hidden="0">
      <x:c r="A9" s="6" t="s">
        <x:v>36</x:v>
      </x:c>
      <x:c r="B9" s="14" t="n">
        <x:v>200</x:v>
      </x:c>
      <x:c r="C9" s="3" t="s">
        <x:v>37</x:v>
      </x:c>
      <x:c r="D9" t="str">
        <x:v>Ước tính pilot cho 1 tổ chức: 200 support attempts/tháng; thay bằng usage log sau pilot.</x:v>
      </x:c>
    </x:row>
    <x:row r="10" ht="15" hidden="0">
      <x:c r="A10" s="6" t="s">
        <x:v>38</x:v>
      </x:c>
      <x:c r="B10" s="15" t="n">
        <x:v>0.78</x:v>
      </x:c>
      <x:c r="D10" s="3" t="str">
        <x:v>78% là ESTIMATE trước khi có Eval Day 21-22; không trình bày như kết quả đo.</x:v>
      </x:c>
    </x:row>
    <x:row r="11" ht="15" hidden="0">
      <x:c r="A11" s="6" t="s">
        <x:v>39</x:v>
      </x:c>
      <x:c r="B11" s="16" t="n">
        <x:f aca="0">B9*B10</x:f>
        <x:v>156</x:v>
      </x:c>
      <x:c r="C11" s="3" t="s">
        <x:v>37</x:v>
      </x:c>
      <x:c r="D11" s="3" t="s">
        <x:v>40</x:v>
      </x:c>
    </x:row>
    <x:row r="12" ht="15" hidden="0">
      <x:c r="A12" s="6" t="s">
        <x:v>41</x:v>
      </x:c>
      <x:c r="B12" s="16" t="n">
        <x:f aca="0">B9-B11</x:f>
        <x:v>44</x:v>
      </x:c>
      <x:c r="C12" s="3" t="s">
        <x:v>37</x:v>
      </x:c>
      <x:c r="D12" s="3" t="s">
        <x:v>42</x:v>
      </x:c>
    </x:row>
    <x:row r="14" ht="15" hidden="0">
      <x:c r="A14" s="11" t="s">
        <x:v>43</x:v>
      </x:c>
      <x:c r="B14" s="12"/>
      <x:c r="C14" s="12"/>
      <x:c r="D14" s="12"/>
      <x:c r="E14" s="12"/>
      <x:c r="F14" s="12"/>
      <x:c r="G14" s="12"/>
      <x:c r="H14" s="12"/>
    </x:row>
    <x:row r="15" ht="15" hidden="0">
      <x:c r="A15" s="6" t="s">
        <x:v>44</x:v>
      </x:c>
      <x:c r="B15" s="17" t="n">
        <x:v>2</x:v>
      </x:c>
      <x:c r="D15" s="3" t="str">
        <x:v>OpenAI GPT-5.6 Terra: $2/1M input, $12/1M output; kiểm tra 27/08/2026. https://developers.openai.com/api/docs/models/gpt-5.6-terra</x:v>
      </x:c>
    </x:row>
    <x:row r="16" ht="15" hidden="0">
      <x:c r="A16" s="6" t="s">
        <x:v>45</x:v>
      </x:c>
      <x:c r="B16" s="17" t="n">
        <x:v>12</x:v>
      </x:c>
    </x:row>
    <x:row r="17" ht="15" hidden="0">
      <x:c r="A17" s="6" t="s">
        <x:v>46</x:v>
      </x:c>
      <x:c r="B17" s="17" t="n">
        <x:v>2.5</x:v>
      </x:c>
      <x:c r="D17" s="3" t="str">
        <x:v>Cache write = 1.25x input = $2.50/1M; cache read = $0.20/1M (10% input), kiểm tra 27/08/2026.</x:v>
      </x:c>
    </x:row>
    <x:row r="18" ht="15" hidden="0">
      <x:c r="A18" s="6" t="s">
        <x:v>47</x:v>
      </x:c>
      <x:c r="B18" s="17" t="n">
        <x:v>0.2</x:v>
      </x:c>
      <x:c r="D18" s="3" t="s">
        <x:v>48</x:v>
      </x:c>
    </x:row>
    <x:row r="19" ht="15" hidden="0">
      <x:c r="A19" s="6" t="s">
        <x:v>49</x:v>
      </x:c>
      <x:c r="B19" s="14" t="n">
        <x:v>3</x:v>
      </x:c>
      <x:c r="C19" s="3" t="s">
        <x:v>50</x:v>
      </x:c>
      <x:c r="D19" t="str">
        <x:v>3 lượt LLM/job ~ routing/planning + answer generation + validation/grounding.</x:v>
      </x:c>
    </x:row>
    <x:row r="20" ht="15" hidden="0">
      <x:c r="A20" s="6" t="s">
        <x:v>51</x:v>
      </x:c>
      <x:c r="B20" s="14" t="n">
        <x:v>3000</x:v>
      </x:c>
      <x:c r="C20" s="3" t="s">
        <x:v>52</x:v>
      </x:c>
      <x:c r="D20" s="3" t="str">
        <x:v>Khoảng 3k token/lượt là system policy + instruction prefix ổn định, có thể cache.</x:v>
      </x:c>
    </x:row>
    <x:row r="21" ht="15" hidden="0">
      <x:c r="A21" s="6" t="s">
        <x:v>53</x:v>
      </x:c>
      <x:c r="B21" s="14" t="n">
        <x:v>2000</x:v>
      </x:c>
      <x:c r="C21" s="3" t="s">
        <x:v>52</x:v>
      </x:c>
      <x:c r="D21" s="3" t="str">
        <x:v>Khoảng 2k token/lượt là query + RAG context/dữ liệu động, không giả định cache.</x:v>
      </x:c>
    </x:row>
    <x:row r="22" ht="15" hidden="0">
      <x:c r="A22" s="6" t="s">
        <x:v>54</x:v>
      </x:c>
      <x:c r="B22" s="14" t="n">
        <x:v>500</x:v>
      </x:c>
      <x:c r="C22" s="3" t="s">
        <x:v>52</x:v>
      </x:c>
      <x:c r="D22" t="str">
        <x:v>500 output token/lượt là ước tính bảo thủ cho answer + structured validation.</x:v>
      </x:c>
    </x:row>
    <x:row r="23" ht="15" hidden="0">
      <x:c r="A23" s="6" t="s">
        <x:v>55</x:v>
      </x:c>
      <x:c r="B23" s="18" t="n">
        <x:f aca="0">B20*B17/1000000</x:f>
        <x:v>0.0075</x:v>
      </x:c>
    </x:row>
    <x:row r="24" ht="15" hidden="0">
      <x:c r="A24" s="6" t="s">
        <x:v>56</x:v>
      </x:c>
      <x:c r="B24" s="18" t="n">
        <x:f aca="0">(B19-1)*B20*B18/1000000</x:f>
        <x:v>0.0012</x:v>
      </x:c>
    </x:row>
    <x:row r="25" ht="15" hidden="0">
      <x:c r="A25" s="6" t="s">
        <x:v>57</x:v>
      </x:c>
      <x:c r="B25" s="18" t="n">
        <x:f aca="0">B19*B21*B15/1000000</x:f>
        <x:v>0.012</x:v>
      </x:c>
    </x:row>
    <x:row r="26" ht="15" hidden="0">
      <x:c r="A26" s="6" t="s">
        <x:v>58</x:v>
      </x:c>
      <x:c r="B26" s="18" t="n">
        <x:f aca="0">B19*B22*B16/1000000</x:f>
        <x:v>0.018</x:v>
      </x:c>
    </x:row>
    <x:row r="27" ht="15" hidden="0">
      <x:c r="A27" s="10" t="s">
        <x:v>59</x:v>
      </x:c>
      <x:c r="B27" s="19" t="n">
        <x:f aca="0">SUM(B23:B26)</x:f>
        <x:v>0.0387</x:v>
      </x:c>
    </x:row>
    <x:row r="28" ht="15" hidden="0">
      <x:c r="A28" s="6" t="s">
        <x:v>60</x:v>
      </x:c>
      <x:c r="B28" s="18" t="n">
        <x:f aca="0">B19*(B20+B21)*B15/1000000+B26</x:f>
        <x:v>0.048</x:v>
      </x:c>
    </x:row>
    <x:row r="29" ht="15" hidden="0">
      <x:c r="A29" s="6" t="s">
        <x:v>61</x:v>
      </x:c>
      <x:c r="B29" s="20" t="n">
        <x:f aca="0">IF(B28=0,0,1-B27/B28)</x:f>
        <x:v>0.1937500000000001</x:v>
      </x:c>
      <x:c r="D29" s="3" t="s">
        <x:v>62</x:v>
      </x:c>
    </x:row>
    <x:row r="30" ht="15" hidden="0">
      <x:c r="A30" s="6" t="s">
        <x:v>63</x:v>
      </x:c>
      <x:c r="B30" s="14" t="n">
        <x:v>0</x:v>
      </x:c>
      <x:c r="D30" s="3" t="s">
        <x:v>64</x:v>
      </x:c>
    </x:row>
    <x:row r="31" ht="15" hidden="0">
      <x:c r="A31" s="10" t="s">
        <x:v>65</x:v>
      </x:c>
      <x:c r="B31" s="19" t="n">
        <x:f aca="0">B27*(1-B30*0.5)</x:f>
        <x:v>0.0387</x:v>
      </x:c>
    </x:row>
    <x:row r="33" ht="15" hidden="0">
      <x:c r="A33" s="11" t="s">
        <x:v>66</x:v>
      </x:c>
      <x:c r="B33" s="12"/>
      <x:c r="C33" s="12"/>
      <x:c r="D33" s="12"/>
      <x:c r="E33" s="12"/>
      <x:c r="F33" s="12"/>
      <x:c r="G33" s="12"/>
      <x:c r="H33" s="12"/>
    </x:row>
    <x:row r="34" ht="15" hidden="0">
      <x:c r="A34" s="6" t="s">
        <x:v>67</x:v>
      </x:c>
      <x:c r="B34" s="21" t="n">
        <x:v>0</x:v>
      </x:c>
      <x:c r="D34" s="3" t="str">
        <x:v>0 vì Internova hiện là text/RAG; không có STT.</x:v>
      </x:c>
    </x:row>
    <x:row r="35" ht="15" hidden="0">
      <x:c r="A35" s="6" t="s">
        <x:v>68</x:v>
      </x:c>
      <x:c r="B35" s="22" t="n">
        <x:v>0</x:v>
      </x:c>
      <x:c r="C35" s="3" t="s">
        <x:v>69</x:v>
      </x:c>
    </x:row>
    <x:row r="36" ht="15" hidden="0">
      <x:c r="A36" s="6" t="s">
        <x:v>70</x:v>
      </x:c>
      <x:c r="B36" s="17" t="n">
        <x:v>0</x:v>
      </x:c>
      <x:c r="D36" s="3" t="str">
        <x:v>0 vì Internova hiện không sinh giọng nói/TTS.</x:v>
      </x:c>
    </x:row>
    <x:row r="37" ht="15" hidden="0">
      <x:c r="A37" s="6" t="s">
        <x:v>71</x:v>
      </x:c>
      <x:c r="B37" s="14" t="n">
        <x:v>0</x:v>
      </x:c>
      <x:c r="C37" s="3" t="s">
        <x:v>72</x:v>
      </x:c>
      <x:c r="D37" s="3" t="s">
        <x:v>73</x:v>
      </x:c>
    </x:row>
    <x:row r="38" ht="15" hidden="0">
      <x:c r="A38" s="6" t="s">
        <x:v>74</x:v>
      </x:c>
      <x:c r="B38" s="18" t="n">
        <x:f aca="0">B34*B35+B36*B37/1000000</x:f>
        <x:v>0</x:v>
      </x:c>
    </x:row>
    <x:row r="40" ht="15" hidden="0">
      <x:c r="A40" s="11" t="s">
        <x:v>75</x:v>
      </x:c>
      <x:c r="B40" s="12"/>
      <x:c r="C40" s="12"/>
      <x:c r="D40" s="12"/>
      <x:c r="E40" s="12"/>
      <x:c r="F40" s="12"/>
      <x:c r="G40" s="12"/>
      <x:c r="H40" s="12"/>
    </x:row>
    <x:row r="41" ht="15" hidden="0">
      <x:c r="A41" s="6" t="s">
        <x:v>76</x:v>
      </x:c>
      <x:c r="B41" s="21" t="n">
        <x:v>0.02</x:v>
      </x:c>
      <x:c r="D41" s="3" t="str">
        <x:v>Phân bổ multi-tenant cho embedding/vector DB, PostgreSQL/Supabase, Redis, storage, logging/monitoring.</x:v>
      </x:c>
    </x:row>
    <x:row r="42" ht="15" hidden="0">
      <x:c r="A42" s="6" t="s">
        <x:v>77</x:v>
      </x:c>
      <x:c r="B42" s="21" t="n">
        <x:v>0</x:v>
      </x:c>
      <x:c r="D42" t="str">
        <x:v>0 vì không có voice/telephony.</x:v>
      </x:c>
    </x:row>
    <x:row r="43" ht="15" hidden="0">
      <x:c r="A43" s="6" t="s">
        <x:v>78</x:v>
      </x:c>
      <x:c r="B43" s="18" t="n">
        <x:f aca="0">B41+B42*B35</x:f>
        <x:v>0.02</x:v>
      </x:c>
    </x:row>
    <x:row r="45" ht="15" hidden="0">
      <x:c r="A45" s="11" t="s">
        <x:v>79</x:v>
      </x:c>
      <x:c r="B45" s="12"/>
      <x:c r="C45" s="12"/>
      <x:c r="D45" s="12"/>
      <x:c r="E45" s="12"/>
      <x:c r="F45" s="12"/>
      <x:c r="G45" s="12"/>
      <x:c r="H45" s="12"/>
    </x:row>
    <x:row r="46" ht="15" hidden="0">
      <x:c r="A46" s="6" t="s">
        <x:v>80</x:v>
      </x:c>
      <x:c r="B46" s="15" t="n">
        <x:v>0.08</x:v>
      </x:c>
      <x:c r="D46" s="3" t="str">
        <x:v>8% là ước tính theo dải 5-10% của lab; thay bằng retry telemetry khi pilot.</x:v>
      </x:c>
    </x:row>
    <x:row r="47" ht="15" hidden="0">
      <x:c r="A47" s="6" t="s">
        <x:v>81</x:v>
      </x:c>
      <x:c r="B47" s="18" t="n">
        <x:f aca="0">(B31+B38)*B46</x:f>
        <x:v>0.003096</x:v>
      </x:c>
    </x:row>
    <x:row r="49" ht="15" hidden="0">
      <x:c r="A49" s="11" t="s">
        <x:v>82</x:v>
      </x:c>
      <x:c r="B49" s="12"/>
      <x:c r="C49" s="12"/>
      <x:c r="D49" s="12"/>
      <x:c r="E49" s="12"/>
      <x:c r="F49" s="12"/>
      <x:c r="G49" s="12"/>
      <x:c r="H49" s="12"/>
    </x:row>
    <x:row r="50" ht="15" hidden="0">
      <x:c r="A50" s="6" t="s">
        <x:v>83</x:v>
      </x:c>
      <x:c r="B50" s="17" t="n">
        <x:v>6</x:v>
      </x:c>
      <x:c r="D50" s="3" t="str">
        <x:v>$6/giờ là proxy fully-loaded cho QA/ops ở pilot; dùng để tránh giả định QA miễn phí.</x:v>
      </x:c>
    </x:row>
    <x:row r="51" ht="15" hidden="0">
      <x:c r="A51" s="6" t="s">
        <x:v>84</x:v>
      </x:c>
      <x:c r="B51" s="15" t="n">
        <x:v>0.1</x:v>
      </x:c>
      <x:c r="D51" s="3" t="str">
        <x:v>Review mẫu 10% hội thoại trong giai đoạn đầu để tạo evidence và bắt lỗi RAG.</x:v>
      </x:c>
    </x:row>
    <x:row r="52" ht="15" hidden="0">
      <x:c r="A52" s="6" t="s">
        <x:v>85</x:v>
      </x:c>
      <x:c r="B52" s="22" t="n">
        <x:v>3</x:v>
      </x:c>
      <x:c r="C52" s="3" t="s">
        <x:v>69</x:v>
      </x:c>
      <x:c r="D52" t="str">
        <x:v>3 phút/ca QA: đọc answer, citation và đánh dấu pass/fail.</x:v>
      </x:c>
    </x:row>
    <x:row r="53" ht="15" hidden="0">
      <x:c r="A53" s="6" t="s">
        <x:v>86</x:v>
      </x:c>
      <x:c r="B53" s="22" t="n">
        <x:v>8</x:v>
      </x:c>
      <x:c r="C53" s="3" t="s">
        <x:v>69</x:v>
      </x:c>
      <x:c r="D53" t="str">
        <x:v>8 phút/ca escalation phía khách; vì chọn Variant A nên không cộng vào COGS Internova.</x:v>
      </x:c>
    </x:row>
    <x:row r="54" ht="15" hidden="0">
      <x:c r="A54" s="6" t="s">
        <x:v>87</x:v>
      </x:c>
      <x:c r="B54" s="23" t="n">
        <x:f aca="0">B9*B51*(B52/60)*B50</x:f>
        <x:v>6</x:v>
      </x:c>
    </x:row>
    <x:row r="55" ht="15" hidden="0">
      <x:c r="A55" s="6" t="s">
        <x:v>88</x:v>
      </x:c>
      <x:c r="B55" s="23" t="n">
        <x:f aca="0">IF(B6="B",B12*(B53/60)*B50,0)</x:f>
        <x:v>0</x:v>
      </x:c>
      <x:c r="D55" s="3" t="s">
        <x:v>89</x:v>
      </x:c>
    </x:row>
    <x:row r="56" ht="15" hidden="0">
      <x:c r="A56" s="10" t="s">
        <x:v>90</x:v>
      </x:c>
      <x:c r="B56" s="24" t="n">
        <x:f aca="0">B54+B55</x:f>
        <x:v>6</x:v>
      </x:c>
    </x:row>
    <x:row r="58" ht="15" hidden="0">
      <x:c r="A58" s="11" t="s">
        <x:v>91</x:v>
      </x:c>
      <x:c r="B58" s="12"/>
      <x:c r="C58" s="12"/>
      <x:c r="D58" s="12"/>
      <x:c r="E58" s="12"/>
      <x:c r="F58" s="12"/>
      <x:c r="G58" s="12"/>
      <x:c r="H58" s="12"/>
    </x:row>
    <x:row r="59" ht="15" hidden="0">
      <x:c r="A59" s="6" t="s">
        <x:v>92</x:v>
      </x:c>
      <x:c r="B59" s="17" t="n">
        <x:v>20</x:v>
      </x:c>
      <x:c r="D59" s="3" t="str">
        <x:v>$20/tháng/tổ chức là phân bổ R&amp;D + support + sales overhead; model vẫn hiển thị COGS và fully-loaded riêng.</x:v>
      </x:c>
    </x:row>
    <x:row r="61" ht="15" hidden="0">
      <x:c r="A61" s="11" t="s">
        <x:v>93</x:v>
      </x:c>
      <x:c r="B61" s="12"/>
      <x:c r="C61" s="12"/>
      <x:c r="D61" s="12"/>
      <x:c r="E61" s="12"/>
      <x:c r="F61" s="12"/>
      <x:c r="G61" s="12"/>
      <x:c r="H61" s="12"/>
    </x:row>
    <x:row r="62" ht="15" hidden="0">
      <x:c r="A62" s="6" t="s">
        <x:v>94</x:v>
      </x:c>
      <x:c r="B62" s="23" t="n">
        <x:f aca="0">B9*(B31+B38+B43+B47)</x:f>
        <x:v>12.359200000000001</x:v>
      </x:c>
    </x:row>
    <x:row r="63" ht="15" hidden="0">
      <x:c r="A63" s="6" t="s">
        <x:v>95</x:v>
      </x:c>
      <x:c r="B63" s="23" t="n">
        <x:f aca="0">B56</x:f>
        <x:v>6</x:v>
      </x:c>
    </x:row>
    <x:row r="64" ht="15" hidden="0">
      <x:c r="A64" s="6" t="s">
        <x:v>96</x:v>
      </x:c>
      <x:c r="B64" s="23" t="n">
        <x:f aca="0">B59</x:f>
        <x:v>20</x:v>
      </x:c>
    </x:row>
    <x:row r="65" ht="15" hidden="0">
      <x:c r="A65" s="6" t="s">
        <x:v>97</x:v>
      </x:c>
      <x:c r="B65" s="23" t="n">
        <x:f aca="0">B62+B63+B64</x:f>
        <x:v>38.3592</x:v>
      </x:c>
    </x:row>
    <x:row r="66" ht="15" hidden="0">
      <x:c r="A66" s="10" t="s">
        <x:v>98</x:v>
      </x:c>
      <x:c r="B66" s="19" t="n">
        <x:f aca="0">IF(B11=0,0,(B62+B63)/B11)</x:f>
        <x:v>0.1176871794871795</x:v>
      </x:c>
      <x:c r="C66" s="3" t="s">
        <x:v>99</x:v>
      </x:c>
      <x:c r="D66" s="3" t="s">
        <x:v>100</x:v>
      </x:c>
    </x:row>
    <x:row r="67" ht="15" hidden="0">
      <x:c r="A67" s="10" t="s">
        <x:v>101</x:v>
      </x:c>
      <x:c r="B67" s="19" t="n">
        <x:f aca="0">IF(B11=0,0,B65/B11)</x:f>
        <x:v>0.2458923076923077</x:v>
      </x:c>
      <x:c r="C67" s="3" t="s">
        <x:v>99</x:v>
      </x:c>
    </x:row>
    <x:row r="68" ht="15" hidden="0">
      <x:c r="A68" s="6" t="s">
        <x:v>102</x:v>
      </x:c>
      <x:c r="B68" s="14" t="n">
        <x:v>26098</x:v>
      </x:c>
      <x:c r="C68" s="3" t="s">
        <x:v>103</x:v>
      </x:c>
      <x:c r="D68" s="3" t="str">
        <x:v>Tỷ giá live 27/08/2026: 1 USD = 26.098 VND.</x:v>
      </x:c>
    </x:row>
    <x:row r="69" ht="15" hidden="0">
      <x:c r="A69" s="6" t="s">
        <x:v>104</x:v>
      </x:c>
      <x:c r="B69" s="25" t="n">
        <x:f aca="0">B66*B68</x:f>
        <x:v>3071.4000102564105</x:v>
      </x:c>
      <x:c r="C69" s="3" t="s">
        <x:v>105</x:v>
      </x:c>
    </x:row>
    <x:row r="71" ht="15" hidden="0">
      <x:c r="A71" s="11" t="s">
        <x:v>106</x:v>
      </x:c>
      <x:c r="B71" s="12"/>
      <x:c r="C71" s="12"/>
      <x:c r="D71" s="12"/>
      <x:c r="E71" s="12"/>
      <x:c r="F71" s="12"/>
      <x:c r="G71" s="12"/>
      <x:c r="H71" s="12"/>
    </x:row>
    <x:row r="72" ht="15" hidden="0">
      <x:c r="A72" s="6" t="s">
        <x:v>107</x:v>
      </x:c>
      <x:c r="B72" s="23" t="n">
        <x:f aca="0">B9*B31</x:f>
        <x:v>7.739999999999999</x:v>
      </x:c>
      <x:c r="C72" s="20" t="n">
        <x:f aca="0">IF($B$65=0,0,B72/$B$65)</x:f>
        <x:v>0.20177688794343987</x:v>
      </x:c>
    </x:row>
    <x:row r="73" ht="15" hidden="0">
      <x:c r="A73" s="6" t="s">
        <x:v>108</x:v>
      </x:c>
      <x:c r="B73" s="23" t="n">
        <x:f aca="0">B9*B38</x:f>
        <x:v>0</x:v>
      </x:c>
      <x:c r="C73" s="20" t="n">
        <x:f aca="0">IF($B$65=0,0,B73/$B$65)</x:f>
        <x:v>0</x:v>
      </x:c>
    </x:row>
    <x:row r="74" ht="15" hidden="0">
      <x:c r="A74" s="6" t="s">
        <x:v>109</x:v>
      </x:c>
      <x:c r="B74" s="23" t="n">
        <x:f aca="0">B9*B43</x:f>
        <x:v>4</x:v>
      </x:c>
      <x:c r="C74" s="20" t="n">
        <x:f aca="0">IF($B$65=0,0,B74/$B$65)</x:f>
        <x:v>0.10427746146947799</x:v>
      </x:c>
    </x:row>
    <x:row r="75" ht="15" hidden="0">
      <x:c r="A75" s="6" t="s">
        <x:v>110</x:v>
      </x:c>
      <x:c r="B75" s="23" t="n">
        <x:f aca="0">B9*B47</x:f>
        <x:v>0.6192</x:v>
      </x:c>
      <x:c r="C75" s="20" t="n">
        <x:f aca="0">IF($B$65=0,0,B75/$B$65)</x:f>
        <x:v>0.016142151035475193</x:v>
      </x:c>
    </x:row>
    <x:row r="76" ht="15" hidden="0">
      <x:c r="A76" s="6" t="s">
        <x:v>111</x:v>
      </x:c>
      <x:c r="B76" s="23" t="n">
        <x:f aca="0">B56</x:f>
        <x:v>6</x:v>
      </x:c>
      <x:c r="C76" s="20" t="n">
        <x:f aca="0">IF($B$65=0,0,B76/$B$65)</x:f>
        <x:v>0.15641619220421699</x:v>
      </x:c>
    </x:row>
    <x:row r="77" ht="15" hidden="0">
      <x:c r="A77" s="6" t="s">
        <x:v>112</x:v>
      </x:c>
      <x:c r="B77" s="23" t="n">
        <x:f aca="0">B59</x:f>
        <x:v>20</x:v>
      </x:c>
      <x:c r="C77" s="20" t="n">
        <x:f aca="0">IF($B$65=0,0,B77/$B$65)</x:f>
        <x:v>0.5213873073473899</x:v>
      </x:c>
    </x:row>
    <x:row r="78" ht="15" hidden="0">
      <x:c r="A78" s="3" t="s">
        <x:v>113</x:v>
      </x:c>
    </x:row>
  </x:sheetData>
  <x:mergeCells>
    <x:mergeCell ref="B5:C5"/>
  </x:mergeCells>
  <x:dataValidations count="1">
    <x:dataValidation type="list" errorStyle="stop" operator="between" allowBlank="0" showDropDown="0" showInputMessage="0" showErrorMessage="0" sqref="B6">
      <x:formula1>"A,B"</x:formula1>
      <x:formula2>0</x:formula2>
    </x:dataValidation>
  </x:dataValidations>
  <x:pageMargins left="0.7" right="0.7" top="0.75" bottom="0.75" header="0.3" footer="0.3"/>
  <x:legacyDrawing xmlns:r="http://schemas.openxmlformats.org/officeDocument/2006/relationships" r:id="Raf30c7e50b634755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46" hidden="0" customWidth="1"/>
    <x:col min="2" max="3" width="16" hidden="0" customWidth="1"/>
    <x:col min="4" max="4" width="54" hidden="0" customWidth="1"/>
    <x:col min="5" max="8" width="15" hidden="0" customWidth="1"/>
  </x:cols>
  <x:sheetData>
    <x:row r="1" ht="24" hidden="0" customHeight="1">
      <x:c r="A1" s="1" t="s">
        <x:v>114</x:v>
      </x:c>
      <x:c r="B1" s="2"/>
      <x:c r="C1" s="2"/>
      <x:c r="D1" s="2"/>
      <x:c r="E1" s="2"/>
      <x:c r="F1" s="2"/>
      <x:c r="G1" s="2"/>
      <x:c r="H1" s="2"/>
    </x:row>
    <x:row r="2" ht="15" hidden="0">
      <x:c r="A2" s="3" t="s">
        <x:v>115</x:v>
      </x:c>
    </x:row>
    <x:row r="4" ht="15" hidden="0">
      <x:c r="A4" s="11" t="s">
        <x:v>116</x:v>
      </x:c>
      <x:c r="B4" s="12"/>
      <x:c r="C4" s="12"/>
      <x:c r="D4" s="12"/>
      <x:c r="E4" s="12"/>
      <x:c r="F4" s="12"/>
      <x:c r="G4" s="12"/>
      <x:c r="H4" s="12"/>
    </x:row>
    <x:row r="5" ht="15" hidden="0">
      <x:c r="A5" s="6" t="s">
        <x:v>117</x:v>
      </x:c>
      <x:c r="B5" s="26" t="n">
        <x:f aca="0">'1_Cost_Job'!B66</x:f>
        <x:v>0.1176871794871795</x:v>
      </x:c>
      <x:c r="C5" s="3" t="s">
        <x:v>99</x:v>
      </x:c>
    </x:row>
    <x:row r="6" ht="15" hidden="0">
      <x:c r="A6" s="6" t="s">
        <x:v>118</x:v>
      </x:c>
      <x:c r="B6" s="22" t="n">
        <x:v>3</x:v>
      </x:c>
      <x:c r="C6" s="3" t="s">
        <x:v>119</x:v>
      </x:c>
      <x:c r="D6" s="3" t="s">
        <x:v>120</x:v>
      </x:c>
    </x:row>
    <x:row r="7" ht="15" hidden="0">
      <x:c r="A7" s="10" t="s">
        <x:v>121</x:v>
      </x:c>
      <x:c r="B7" s="19" t="n">
        <x:f aca="0">B5*B6</x:f>
        <x:v>0.3530615384615385</x:v>
      </x:c>
      <x:c r="C7" s="3" t="s">
        <x:v>99</x:v>
      </x:c>
    </x:row>
    <x:row r="9" ht="15" hidden="0">
      <x:c r="A9" s="11" t="s">
        <x:v>122</x:v>
      </x:c>
      <x:c r="B9" s="12"/>
      <x:c r="C9" s="12"/>
      <x:c r="D9" s="12"/>
      <x:c r="E9" s="12"/>
      <x:c r="F9" s="12"/>
      <x:c r="G9" s="12"/>
      <x:c r="H9" s="12"/>
    </x:row>
    <x:row r="10" ht="15" hidden="0">
      <x:c r="A10" s="6" t="s">
        <x:v>123</x:v>
      </x:c>
      <x:c r="B10" s="27" t="n">
        <x:v>300</x:v>
      </x:c>
      <x:c r="D10" s="3" t="str">
        <x:v>Neo theo workload: 200 câu hỏi x ~15 phút xử lý thủ công x $6/giờ ≈ $300/tháng.</x:v>
      </x:c>
    </x:row>
    <x:row r="11" ht="15" hidden="0">
      <x:c r="A11" s="6" t="s">
        <x:v>124</x:v>
      </x:c>
      <x:c r="B11" s="14" t="n">
        <x:v>156</x:v>
      </x:c>
      <x:c r="C11" s="3" t="s">
        <x:v>37</x:v>
      </x:c>
    </x:row>
    <x:row r="12" ht="15" hidden="0">
      <x:c r="A12" s="6" t="s">
        <x:v>125</x:v>
      </x:c>
      <x:c r="B12" s="18" t="n">
        <x:f aca="0">IF(B11=0,0,B10*0.1/B11)</x:f>
        <x:v>0.19230769230769232</x:v>
      </x:c>
      <x:c r="C12" s="3" t="s">
        <x:v>99</x:v>
      </x:c>
    </x:row>
    <x:row r="13" ht="15" hidden="0">
      <x:c r="A13" s="6" t="s">
        <x:v>126</x:v>
      </x:c>
      <x:c r="B13" s="18" t="n">
        <x:f aca="0">IF(B11=0,0,B10*0.25/B11)</x:f>
        <x:v>0.4807692307692308</x:v>
      </x:c>
      <x:c r="C13" s="3" t="s">
        <x:v>99</x:v>
      </x:c>
    </x:row>
    <x:row r="14" ht="15" hidden="0">
      <x:c r="A14" s="6" t="s">
        <x:v>127</x:v>
      </x:c>
      <x:c r="B14" s="27" t="n">
        <x:v>600</x:v>
      </x:c>
      <x:c r="D14" s="3" t="str">
        <x:v>$600/tháng là proxy fully-loaded của 1 vị trí support/career-services; dùng làm anchor, không phải claim lương chính xác.</x:v>
      </x:c>
    </x:row>
    <x:row r="15" ht="15" hidden="0">
      <x:c r="A15" s="6" t="s">
        <x:v>128</x:v>
      </x:c>
      <x:c r="B15" s="18" t="n">
        <x:f aca="0">IF(B11=0,0,B14*0.5/B11)</x:f>
        <x:v>1.9230769230769231</x:v>
      </x:c>
      <x:c r="C15" s="3" t="s">
        <x:v>99</x:v>
      </x:c>
    </x:row>
    <x:row r="16" ht="15" hidden="0">
      <x:c r="A16" s="6" t="s">
        <x:v>129</x:v>
      </x:c>
      <x:c r="B16" s="18" t="n">
        <x:f aca="0">IF(B11=0,0,B14*0.7/B11)</x:f>
        <x:v>2.6923076923076925</x:v>
      </x:c>
      <x:c r="C16" s="3" t="s">
        <x:v>99</x:v>
      </x:c>
    </x:row>
    <x:row r="18" ht="15" hidden="0">
      <x:c r="A18" s="11" t="s">
        <x:v>130</x:v>
      </x:c>
      <x:c r="B18" s="12"/>
      <x:c r="C18" s="12"/>
      <x:c r="D18" s="12"/>
      <x:c r="E18" s="12"/>
      <x:c r="F18" s="12"/>
      <x:c r="G18" s="12"/>
      <x:c r="H18" s="12"/>
    </x:row>
    <x:row r="19" ht="15" hidden="0">
      <x:c r="A19" s="6" t="s">
        <x:v>131</x:v>
      </x:c>
      <x:c r="B19" s="21" t="n">
        <x:v>0.4</x:v>
      </x:c>
      <x:c r="C19" s="3" t="s">
        <x:v>99</x:v>
      </x:c>
      <x:c r="D19" s="3" t="str">
        <x:v>Hybrid: annual platform fee + included completed jobs + overage. $0.40/job ≈ 10.439 VND/job theo FX 27/08/2026.</x:v>
      </x:c>
    </x:row>
    <x:row r="20" ht="15" hidden="0">
      <x:c r="A20" s="6" t="s">
        <x:v>132</x:v>
      </x:c>
      <x:c r="B20" s="28" t="n">
        <x:f aca="0">IF(B5=0,0,B19/B5)</x:f>
        <x:v>3.3988409081005706</x:v>
      </x:c>
    </x:row>
    <x:row r="21" ht="15" hidden="0">
      <x:c r="A21" s="10" t="s">
        <x:v>133</x:v>
      </x:c>
      <x:c r="B21" s="29" t="n">
        <x:f aca="0">IF(B19=0,0,(B19-B5)/B19)</x:f>
        <x:v>0.7057820512820513</x:v>
      </x:c>
    </x:row>
    <x:row r="22" ht="15" hidden="0">
      <x:c r="A22" s="6" t="s">
        <x:v>134</x:v>
      </x:c>
      <x:c r="B22" s="7" t="str">
        <x:f aca="0">IF(B20&gt;=B6,"OK — ĐẠT","KHÔNG ĐẠT — quay lại tab 1")</x:f>
        <x:v>OK — ĐẠT</x:v>
      </x:c>
    </x:row>
    <x:row r="23" ht="15" hidden="0">
      <x:c r="A23" s="6" t="s">
        <x:v>135</x:v>
      </x:c>
      <x:c r="B23" s="7" t="str">
        <x:f aca="0">IF(B21&gt;=0.6,"OK — AN TOÀN (≥60%)",IF(B21&gt;=0.5,"CẢNH BÁO (50–60%)","NGUY HIỂM (&lt;50%)"))</x:f>
        <x:v>OK — AN TOÀN (≥60%)</x:v>
      </x:c>
    </x:row>
    <x:row r="24" ht="15" hidden="0">
      <x:c r="A24" s="6" t="s">
        <x:v>136</x:v>
      </x:c>
      <x:c r="B24" s="7" t="str">
        <x:f aca="0">IF(B21&gt;0.85,"NGHI NGỜ — nhiều khả năng bạn quên một khoản chi phí","OK")</x:f>
        <x:v>OK</x:v>
      </x:c>
    </x:row>
    <x:row r="25" ht="15" hidden="0">
      <x:c r="A25" s="6" t="s">
        <x:v>137</x:v>
      </x:c>
      <x:c r="B25" s="7" t="str">
        <x:f aca="0">IF(AND(B19&gt;=B7,B19&lt;=MAX(B13,B16)),"OK — trong vùng giá bán","XEM LẠI — ngoài vùng giá sàn/trần")</x:f>
        <x:v>OK — trong vùng giá bán</x:v>
      </x:c>
    </x:row>
    <x:row r="27" ht="15" hidden="0">
      <x:c r="A27" s="11" t="s">
        <x:v>138</x:v>
      </x:c>
      <x:c r="B27" s="12"/>
      <x:c r="C27" s="12"/>
      <x:c r="D27" s="12"/>
      <x:c r="E27" s="12"/>
      <x:c r="F27" s="12"/>
      <x:c r="G27" s="12"/>
      <x:c r="H27" s="12"/>
    </x:row>
    <x:row r="28" ht="15" hidden="0">
      <x:c r="A28" s="3" t="s">
        <x:v>139</x:v>
      </x:c>
    </x:row>
    <x:row r="29" ht="15" hidden="0">
      <x:c r="A29" s="6" t="s">
        <x:v>140</x:v>
      </x:c>
      <x:c r="B29" s="26" t="n">
        <x:f aca="0">'1_Cost_Job'!B31+'1_Cost_Job'!B38+'1_Cost_Job'!B43+'1_Cost_Job'!B47</x:f>
        <x:v>0.061796000000000004</x:v>
      </x:c>
    </x:row>
    <x:row r="30" ht="15" hidden="0">
      <x:c r="A30" s="6" t="s">
        <x:v>141</x:v>
      </x:c>
      <x:c r="B30" s="26" t="n">
        <x:f aca="0">'1_Cost_Job'!B51*('1_Cost_Job'!B52/60)*'1_Cost_Job'!B50</x:f>
        <x:v>0.030000000000000006</x:v>
      </x:c>
    </x:row>
    <x:row r="31" ht="15" hidden="0">
      <x:c r="A31" s="6" t="s">
        <x:v>142</x:v>
      </x:c>
      <x:c r="B31" s="26" t="n">
        <x:f aca="0">IF('1_Cost_Job'!B6="B",('1_Cost_Job'!B53/60)*'1_Cost_Job'!B50,0)</x:f>
        <x:v>0</x:v>
      </x:c>
    </x:row>
    <x:row r="32" ht="15" hidden="0">
      <x:c r="A32" s="6" t="s">
        <x:v>143</x:v>
      </x:c>
      <x:c r="B32" s="15" t="n">
        <x:v>0.6</x:v>
      </x:c>
    </x:row>
    <x:row r="33" ht="15" hidden="0">
      <x:c r="A33" s="10" t="s">
        <x:v>144</x:v>
      </x:c>
      <x:c r="B33" s="29" t="n">
        <x:f aca="0">IF((B19*(1-B32)+B31)=0,0,(B29+B30+B31)/(B19*(1-B32)+B31))</x:f>
        <x:v>0.573725</x:v>
      </x:c>
      <x:c r="D33" s="3" t="s">
        <x:v>145</x:v>
      </x:c>
    </x:row>
    <x:row r="34" ht="15" hidden="0">
      <x:c r="A34" s="6" t="s">
        <x:v>146</x:v>
      </x:c>
      <x:c r="B34" s="30" t="n">
        <x:f aca="0">'1_Cost_Job'!B10</x:f>
        <x:v>0.78</x:v>
      </x:c>
    </x:row>
    <x:row r="35" ht="15" hidden="0">
      <x:c r="A35" s="6" t="s">
        <x:v>147</x:v>
      </x:c>
      <x:c r="B35" s="7" t="str">
        <x:f aca="0">IF(B34&gt;=B33,"ĐẠT — mô hình có lãi lành mạnh","CHƯA ĐẠT — phải tăng containment, tăng giá, hoặc đổi biến thể HITL")</x:f>
        <x:v>ĐẠT — mô hình có lãi lành mạnh</x:v>
      </x:c>
    </x:row>
    <x:row r="37" ht="15" hidden="0">
      <x:c r="A37" s="11" t="s">
        <x:v>148</x:v>
      </x:c>
      <x:c r="B37" s="12"/>
      <x:c r="C37" s="12"/>
      <x:c r="D37" s="12"/>
      <x:c r="E37" s="12"/>
      <x:c r="F37" s="12"/>
      <x:c r="G37" s="12"/>
      <x:c r="H37" s="12"/>
    </x:row>
    <x:row r="38" ht="15" hidden="0">
      <x:c r="A38" s="31" t="s">
        <x:v>149</x:v>
      </x:c>
      <x:c r="B38" s="31" t="s">
        <x:v>150</x:v>
      </x:c>
      <x:c r="C38" s="31" t="s">
        <x:v>151</x:v>
      </x:c>
      <x:c r="D38" s="31" t="s">
        <x:v>152</x:v>
      </x:c>
    </x:row>
    <x:row r="39" ht="15" hidden="0">
      <x:c r="A39" s="32" t="n">
        <x:v>0.5</x:v>
      </x:c>
      <x:c r="B39" s="18" t="n">
        <x:f aca="0">($B$29+$B$30+$B$31*(1-A39))/A39</x:f>
        <x:v>0.18359200000000003</x:v>
      </x:c>
      <x:c r="C39" s="20" t="n">
        <x:f aca="0">IF($B$19=0,0,1-B39/$B$19)</x:f>
        <x:v>0.54102</x:v>
      </x:c>
      <x:c r="D39" s="7" t="str">
        <x:f aca="0">IF(C39&gt;=0.6,"An toàn",IF(C39&gt;=0.5,"Cảnh báo","Nguy hiểm"))</x:f>
        <x:v>Cảnh báo</x:v>
      </x:c>
    </x:row>
    <x:row r="40" ht="15" hidden="0">
      <x:c r="A40" s="32" t="n">
        <x:v>0.6</x:v>
      </x:c>
      <x:c r="B40" s="18" t="n">
        <x:f aca="0">($B$29+$B$30+$B$31*(1-A40))/A40</x:f>
        <x:v>0.15299333333333337</x:v>
      </x:c>
      <x:c r="C40" s="20" t="n">
        <x:f aca="0">IF($B$19=0,0,1-B40/$B$19)</x:f>
        <x:v>0.6175166666666666</x:v>
      </x:c>
      <x:c r="D40" s="7" t="str">
        <x:f aca="0">IF(C40&gt;=0.6,"An toàn",IF(C40&gt;=0.5,"Cảnh báo","Nguy hiểm"))</x:f>
        <x:v>An toàn</x:v>
      </x:c>
    </x:row>
    <x:row r="41" ht="15" hidden="0">
      <x:c r="A41" s="32" t="n">
        <x:v>0.7</x:v>
      </x:c>
      <x:c r="B41" s="18" t="n">
        <x:f aca="0">($B$29+$B$30+$B$31*(1-A41))/A41</x:f>
        <x:v>0.1311371428571429</x:v>
      </x:c>
      <x:c r="C41" s="20" t="n">
        <x:f aca="0">IF($B$19=0,0,1-B41/$B$19)</x:f>
        <x:v>0.6721571428571428</x:v>
      </x:c>
      <x:c r="D41" s="7" t="str">
        <x:f aca="0">IF(C41&gt;=0.6,"An toàn",IF(C41&gt;=0.5,"Cảnh báo","Nguy hiểm"))</x:f>
        <x:v>An toàn</x:v>
      </x:c>
    </x:row>
    <x:row r="42" ht="15" hidden="0">
      <x:c r="A42" s="32" t="n">
        <x:v>0.8</x:v>
      </x:c>
      <x:c r="B42" s="18" t="n">
        <x:f aca="0">($B$29+$B$30+$B$31*(1-A42))/A42</x:f>
        <x:v>0.11474500000000001</x:v>
      </x:c>
      <x:c r="C42" s="20" t="n">
        <x:f aca="0">IF($B$19=0,0,1-B42/$B$19)</x:f>
        <x:v>0.7131375</x:v>
      </x:c>
      <x:c r="D42" s="7" t="str">
        <x:f aca="0">IF(C42&gt;=0.6,"An toàn",IF(C42&gt;=0.5,"Cảnh báo","Nguy hiểm"))</x:f>
        <x:v>An toàn</x:v>
      </x:c>
    </x:row>
    <x:row r="43" ht="15" hidden="0">
      <x:c r="A43" s="32" t="n">
        <x:v>0.9</x:v>
      </x:c>
      <x:c r="B43" s="18" t="n">
        <x:f aca="0">($B$29+$B$30+$B$31*(1-A43))/A43</x:f>
        <x:v>0.10199555555555558</x:v>
      </x:c>
      <x:c r="C43" s="20" t="n">
        <x:f aca="0">IF($B$19=0,0,1-B43/$B$19)</x:f>
        <x:v>0.7450111111111111</x:v>
      </x:c>
      <x:c r="D43" s="7" t="str">
        <x:f aca="0">IF(C43&gt;=0.6,"An toàn",IF(C43&gt;=0.5,"Cảnh báo","Nguy hiểm"))</x:f>
        <x:v>An toàn</x:v>
      </x:c>
    </x:row>
    <x:row r="44" ht="15" hidden="0">
      <x:c r="A44" s="32" t="n">
        <x:v>0.95</x:v>
      </x:c>
      <x:c r="B44" s="18" t="n">
        <x:f aca="0">($B$29+$B$30+$B$31*(1-A44))/A44</x:f>
        <x:v>0.09662736842105266</x:v>
      </x:c>
      <x:c r="C44" s="20" t="n">
        <x:f aca="0">IF($B$19=0,0,1-B44/$B$19)</x:f>
        <x:v>0.7584315789473683</x:v>
      </x:c>
      <x:c r="D44" s="7" t="str">
        <x:f aca="0">IF(C44&gt;=0.6,"An toàn",IF(C44&gt;=0.5,"Cảnh báo","Nguy hiểm"))</x:f>
        <x:v>An toàn</x:v>
      </x:c>
    </x:row>
    <x:row r="45">
      <x:c r="A45" t="str">
        <x:v>Containment khiến GM &lt;50%</x:v>
      </x:c>
      <x:c r="B45" s="92" t="n">
        <x:f>IF((B19*(1-0.5)+B31)=0,0,(B29+B30+B31)/(B19*(1-0.5)+B31))</x:f>
        <x:v>0.45898000000000005</x:v>
      </x:c>
      <x:c r="D45" t="str">
        <x:v>Dưới ngưỡng này, Gross Margin &lt;50% và mô hình vào vùng nguy hiểm.</x:v>
      </x:c>
    </x:row>
    <x:row r="46" ht="15" hidden="0">
      <x:c r="A46" s="3" t="s">
        <x:v>153</x:v>
      </x:c>
    </x:row>
    <x:row r="48" ht="15" hidden="0">
      <x:c r="A48" s="11" t="s">
        <x:v>154</x:v>
      </x:c>
      <x:c r="B48" s="12"/>
      <x:c r="C48" s="12"/>
      <x:c r="D48" s="12"/>
      <x:c r="E48" s="12"/>
      <x:c r="F48" s="12"/>
      <x:c r="G48" s="12"/>
      <x:c r="H48" s="12"/>
    </x:row>
    <x:row r="49" ht="15" hidden="0">
      <x:c r="A49" s="10" t="s">
        <x:v>150</x:v>
      </x:c>
      <x:c r="B49" s="19" t="n">
        <x:f aca="0">B5</x:f>
        <x:v>0.1176871794871795</x:v>
      </x:c>
    </x:row>
    <x:row r="50" ht="15" hidden="0">
      <x:c r="A50" s="10" t="s">
        <x:v>155</x:v>
      </x:c>
      <x:c r="B50" s="19" t="n">
        <x:f aca="0">B7</x:f>
        <x:v>0.3530615384615385</x:v>
      </x:c>
    </x:row>
    <x:row r="51" ht="15" hidden="0">
      <x:c r="A51" s="10" t="s">
        <x:v>156</x:v>
      </x:c>
      <x:c r="B51" s="19" t="n">
        <x:f aca="0">B19</x:f>
        <x:v>0.4</x:v>
      </x:c>
    </x:row>
    <x:row r="52" ht="15" hidden="0">
      <x:c r="A52" s="10" t="s">
        <x:v>151</x:v>
      </x:c>
      <x:c r="B52" s="29" t="n">
        <x:f aca="0">B21</x:f>
        <x:v>0.7057820512820513</x:v>
      </x:c>
    </x:row>
    <x:row r="53" ht="15" hidden="0">
      <x:c r="A53" s="10" t="s">
        <x:v>157</x:v>
      </x:c>
      <x:c r="B53" s="29" t="n">
        <x:f aca="0">B33</x:f>
        <x:v>0.573725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72" hidden="0" customWidth="1"/>
    <x:col min="2" max="2" width="12" hidden="0" customWidth="1"/>
    <x:col min="3" max="3" width="50" hidden="0" customWidth="1"/>
    <x:col min="4" max="4" width="46" hidden="0" customWidth="1"/>
    <x:col min="5" max="8" width="15" hidden="0" customWidth="1"/>
  </x:cols>
  <x:sheetData>
    <x:row r="1" ht="24" hidden="0" customHeight="1">
      <x:c r="A1" s="1" t="s">
        <x:v>158</x:v>
      </x:c>
      <x:c r="B1" s="2"/>
      <x:c r="C1" s="2"/>
      <x:c r="D1" s="2"/>
      <x:c r="E1" s="2"/>
      <x:c r="F1" s="2"/>
      <x:c r="G1" s="2"/>
      <x:c r="H1" s="2"/>
    </x:row>
    <x:row r="2" ht="15" hidden="0">
      <x:c r="A2" s="3" t="s">
        <x:v>159</x:v>
      </x:c>
    </x:row>
    <x:row r="4" ht="15" hidden="0">
      <x:c r="A4" s="11" t="s">
        <x:v>160</x:v>
      </x:c>
      <x:c r="B4" s="12"/>
      <x:c r="C4" s="12"/>
      <x:c r="D4" s="12"/>
      <x:c r="E4" s="12"/>
      <x:c r="F4" s="12"/>
      <x:c r="G4" s="12"/>
      <x:c r="H4" s="12"/>
    </x:row>
    <x:row r="5" ht="15" hidden="0">
      <x:c r="A5" s="6" t="s">
        <x:v>161</x:v>
      </x:c>
      <x:c r="B5" s="13" t="n">
        <x:v>2</x:v>
      </x:c>
      <x:c r="D5"/>
    </x:row>
    <x:row r="6" ht="15" hidden="0">
      <x:c r="A6" s="6" t="s">
        <x:v>162</x:v>
      </x:c>
      <x:c r="B6" s="13" t="n">
        <x:v>2</x:v>
      </x:c>
      <x:c r="D6"/>
    </x:row>
    <x:row r="7" ht="15" hidden="0">
      <x:c r="A7" s="6" t="s">
        <x:v>163</x:v>
      </x:c>
      <x:c r="B7" s="13" t="n">
        <x:v>2</x:v>
      </x:c>
      <x:c r="D7"/>
    </x:row>
    <x:row r="8" ht="15" hidden="0">
      <x:c r="A8" s="6" t="s">
        <x:v>164</x:v>
      </x:c>
      <x:c r="B8" s="13" t="n">
        <x:v>2</x:v>
      </x:c>
      <x:c r="D8"/>
    </x:row>
    <x:row r="9" ht="15" hidden="0">
      <x:c r="A9" s="6" t="s">
        <x:v>165</x:v>
      </x:c>
      <x:c r="B9" s="13" t="n">
        <x:v>2</x:v>
      </x:c>
      <x:c r="D9"/>
    </x:row>
    <x:row r="10" ht="15" hidden="0">
      <x:c r="A10" s="10" t="s">
        <x:v>166</x:v>
      </x:c>
      <x:c r="B10" s="33" t="n">
        <x:f aca="0">SUM(B5:B9)</x:f>
        <x:v>10</x:v>
      </x:c>
    </x:row>
    <x:row r="12" ht="15" hidden="0">
      <x:c r="A12" s="11" t="s">
        <x:v>167</x:v>
      </x:c>
      <x:c r="B12" s="12"/>
      <x:c r="C12" s="12"/>
      <x:c r="D12" s="12"/>
      <x:c r="E12" s="12"/>
      <x:c r="F12" s="12"/>
      <x:c r="G12" s="12"/>
      <x:c r="H12" s="12"/>
    </x:row>
    <x:row r="13" ht="15" hidden="0">
      <x:c r="A13" s="6" t="s">
        <x:v>168</x:v>
      </x:c>
      <x:c r="B13" s="13" t="n">
        <x:v>2</x:v>
      </x:c>
      <x:c r="D13"/>
    </x:row>
    <x:row r="14" ht="15" hidden="0">
      <x:c r="A14" s="6" t="s">
        <x:v>169</x:v>
      </x:c>
      <x:c r="B14" s="13" t="n">
        <x:v>2</x:v>
      </x:c>
      <x:c r="D14"/>
    </x:row>
    <x:row r="15" ht="15" hidden="0">
      <x:c r="A15" s="6" t="s">
        <x:v>170</x:v>
      </x:c>
      <x:c r="B15" s="13" t="n">
        <x:v>2</x:v>
      </x:c>
      <x:c r="D15"/>
    </x:row>
    <x:row r="16" ht="15" hidden="0">
      <x:c r="A16" s="6" t="s">
        <x:v>171</x:v>
      </x:c>
      <x:c r="B16" s="13" t="n">
        <x:v>2</x:v>
      </x:c>
      <x:c r="D16"/>
    </x:row>
    <x:row r="17" ht="15" hidden="0">
      <x:c r="A17" s="6" t="s">
        <x:v>172</x:v>
      </x:c>
      <x:c r="B17" s="13" t="n">
        <x:v>2</x:v>
      </x:c>
      <x:c r="D17"/>
    </x:row>
    <x:row r="18" ht="15" hidden="0">
      <x:c r="A18" s="10" t="s">
        <x:v>173</x:v>
      </x:c>
      <x:c r="B18" s="33" t="n">
        <x:f aca="0">SUM(B13:B17)</x:f>
        <x:v>10</x:v>
      </x:c>
    </x:row>
    <x:row r="20" ht="15" hidden="0">
      <x:c r="A20" s="11" t="s">
        <x:v>174</x:v>
      </x:c>
      <x:c r="B20" s="12"/>
      <x:c r="C20" s="12"/>
      <x:c r="D20" s="12"/>
      <x:c r="E20" s="12"/>
      <x:c r="F20" s="12"/>
      <x:c r="G20" s="12"/>
      <x:c r="H20" s="12"/>
    </x:row>
    <x:row r="21" ht="15" hidden="0">
      <x:c r="A21" s="10" t="s">
        <x:v>175</x:v>
      </x:c>
      <x:c r="B21" s="34" t="str">
        <x:f aca="0">IF(AND(B10&gt;=7,B18&gt;=7),"OUTCOME",IF(AND(B10&gt;=7,B18&lt;7),"USAGE",IF(AND(B10&lt;7,B18&gt;=7),"USAGE (an toàn)","SEAT hoặc HYBRID")))</x:f>
        <x:v>OUTCOME</x:v>
      </x:c>
    </x:row>
    <x:row r="22" ht="15" hidden="0">
      <x:c r="A22" s="3" t="s">
        <x:v>176</x:v>
      </x:c>
    </x:row>
    <x:row r="24" ht="15" hidden="0">
      <x:c r="A24" s="11" t="s">
        <x:v>177</x:v>
      </x:c>
      <x:c r="B24" s="12"/>
      <x:c r="C24" s="12"/>
      <x:c r="D24" s="12"/>
      <x:c r="E24" s="12"/>
      <x:c r="F24" s="12"/>
      <x:c r="G24" s="12"/>
      <x:c r="H24" s="12"/>
    </x:row>
    <x:row r="25" ht="15" hidden="0">
      <x:c r="A25" s="31" t="s">
        <x:v>178</x:v>
      </x:c>
      <x:c r="B25" s="31" t="s">
        <x:v>179</x:v>
      </x:c>
      <x:c r="C25" s="31" t="s">
        <x:v>180</x:v>
      </x:c>
      <x:c r="D25" s="31" t="s">
        <x:v>181</x:v>
      </x:c>
    </x:row>
    <x:row r="26" ht="15" hidden="0">
      <x:c r="A26" s="5" t="str">
        <x:v>Intercom Fin</x:v>
      </x:c>
      <x:c r="B26" s="5" t="str">
        <x:v>Outcome</x:v>
      </x:c>
      <x:c r="C26" s="5" t="str">
        <x:v>$0.99 / outcome</x:v>
      </x:c>
      <x:c r="D26" s="5" t="str">
        <x:v>https://www.intercom.com/pricing</x:v>
      </x:c>
    </x:row>
    <x:row r="27" ht="15" hidden="0">
      <x:c r="A27" s="5" t="str">
        <x:v>Salesforce Agentforce</x:v>
      </x:c>
      <x:c r="B27" s="5" t="str">
        <x:v>Usage / Hybrid</x:v>
      </x:c>
      <x:c r="C27" s="5" t="str">
        <x:v>$2 / conversation; $0.10 / action</x:v>
      </x:c>
      <x:c r="D27" s="5" t="str">
        <x:v>https://www.salesforce.com/agentforce/pricing/</x:v>
      </x:c>
    </x:row>
    <x:row r="29" ht="15" hidden="0">
      <x:c r="A29" s="11" t="s">
        <x:v>182</x:v>
      </x:c>
      <x:c r="B29" s="12"/>
      <x:c r="C29" s="12"/>
      <x:c r="D29" s="12"/>
      <x:c r="E29" s="12"/>
      <x:c r="F29" s="12"/>
      <x:c r="G29" s="12"/>
      <x:c r="H29" s="12"/>
    </x:row>
    <x:row r="30" ht="15" hidden="0">
      <x:c r="A30" s="6" t="s">
        <x:v>183</x:v>
      </x:c>
      <x:c r="B30" s="5" t="str">
        <x:v>Hybrid</x:v>
      </x:c>
    </x:row>
    <x:row r="31" ht="42" hidden="0" customHeight="1">
      <x:c r="A31" s="6" t="s">
        <x:v>184</x:v>
      </x:c>
      <x:c r="B31" s="86" t="str">
        <x:v>Market override: model gợi ý OUTCOME vì Attribution 10/10 và Autonomy 10/10, nhưng buyer đại học/B2B Việt Nam ưu tiên ngân sách năm dự đoán được; Hybrid giữ phí nền rõ ràng và thêm overage để bảo vệ margin khi usage AI tăng.</x:v>
      </x:c>
      <x:c r="C31" s="87"/>
      <x:c r="D31" s="87"/>
    </x:row>
    <x:row r="32" ht="42" hidden="0" customHeight="1">
      <x:c r="A32" s="6" t="s">
        <x:v>185</x:v>
      </x:c>
      <x:c r="B32" s="86" t="str">
        <x:v>Chọn Hybrid: 18 triệu VND/tổ chức/năm gồm platform + quota completed jobs; vượt quota tính theo completed job.</x:v>
      </x:c>
      <x:c r="C32" s="87"/>
      <x:c r="D32" s="87"/>
    </x:row>
    <x:row r="33" ht="60" hidden="0" customHeight="1">
      <x:c r="A33" s="6" t="s">
        <x:v>186</x:v>
      </x:c>
      <x:c r="B33" s="86" t="str">
        <x:v>Attribution 10/10, Autonomy 10/10 theo self-assessment đã chốt. Implementation evidence hiện có: job-level logs, answer_status/confidence/sources, groundedness telemetry, privacy-gated autonomous RAG, fail-closed evidence checks và QA/monitoring. Không dùng 78% như một frozen 150-case Eval result.</x:v>
      </x:c>
      <x:c r="C33" s="87"/>
      <x:c r="D33" s="87"/>
    </x:row>
    <x:row r="34" ht="42" hidden="0" customHeight="1">
      <x:c r="A34" s="6" t="s">
        <x:v>187</x:v>
      </x:c>
      <x:c r="B34" s="86" t="str">
        <x:v>Mô hình gãy khi containment &lt;57.4% ở $0.40/job hoặc usage tăng mạnh mà không áp overage/guardrail.</x:v>
      </x:c>
      <x:c r="C34" s="87"/>
      <x:c r="D34" s="87"/>
    </x:row>
  </x:sheetData>
  <x:mergeCells>
    <x:mergeCell ref="B31:D31"/>
    <x:mergeCell ref="B32:D32"/>
    <x:mergeCell ref="B33:D33"/>
    <x:mergeCell ref="B34:D3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46" hidden="0" customWidth="1"/>
    <x:col min="2" max="3" width="16" hidden="0" customWidth="1"/>
    <x:col min="4" max="4" width="54" hidden="0" customWidth="1"/>
    <x:col min="5" max="8" width="15" hidden="0" customWidth="1"/>
  </x:cols>
  <x:sheetData>
    <x:row r="1" ht="24" hidden="0" customHeight="1">
      <x:c r="A1" s="1" t="s">
        <x:v>188</x:v>
      </x:c>
      <x:c r="B1" s="2"/>
      <x:c r="C1" s="2"/>
      <x:c r="D1" s="2"/>
      <x:c r="E1" s="2"/>
      <x:c r="F1" s="2"/>
      <x:c r="G1" s="2"/>
      <x:c r="H1" s="2"/>
    </x:row>
    <x:row r="2" ht="15" hidden="0">
      <x:c r="A2" s="3" t="s">
        <x:v>189</x:v>
      </x:c>
    </x:row>
    <x:row r="4" ht="15" hidden="0">
      <x:c r="A4" s="11" t="s">
        <x:v>190</x:v>
      </x:c>
      <x:c r="B4" s="12"/>
      <x:c r="C4" s="12"/>
      <x:c r="D4" s="12"/>
      <x:c r="E4" s="12"/>
      <x:c r="F4" s="12"/>
      <x:c r="G4" s="12"/>
      <x:c r="H4" s="12"/>
    </x:row>
    <x:row r="5" ht="15" hidden="0">
      <x:c r="A5" s="6" t="s">
        <x:v>191</x:v>
      </x:c>
      <x:c r="B5" s="27" t="n">
        <x:v>57.47566863361177</x:v>
      </x:c>
    </x:row>
    <x:row r="6" ht="15" hidden="0">
      <x:c r="A6" s="6" t="s">
        <x:v>192</x:v>
      </x:c>
      <x:c r="B6" s="30" t="n">
        <x:f aca="0">'2_Pricing'!B21</x:f>
        <x:v>0.7057820512820513</x:v>
      </x:c>
    </x:row>
    <x:row r="7" ht="15" hidden="0">
      <x:c r="A7" s="6" t="s">
        <x:v>193</x:v>
      </x:c>
      <x:c r="B7" s="13" t="str">
        <x:v>Mid</x:v>
      </x:c>
    </x:row>
    <x:row r="8" ht="15" hidden="0">
      <x:c r="A8" s="6" t="s">
        <x:v>194</x:v>
      </x:c>
      <x:c r="B8" s="16" t="n">
        <x:f aca="0">IF(B7="SMB",12,IF(B7="Mid",18,24))</x:f>
        <x:v>18</x:v>
      </x:c>
      <x:c r="C8" s="3" t="s">
        <x:v>195</x:v>
      </x:c>
      <x:c r="D8" s="3" t="s">
        <x:v>196</x:v>
      </x:c>
    </x:row>
    <x:row r="9" ht="15" hidden="0">
      <x:c r="A9" s="10" t="s">
        <x:v>197</x:v>
      </x:c>
      <x:c r="B9" s="35" t="n">
        <x:f aca="0">B5*B6*B8</x:f>
        <x:v>730.1753155266834</x:v>
      </x:c>
      <x:c r="D9" s="3" t="s">
        <x:v>198</x:v>
      </x:c>
    </x:row>
    <x:row r="10" ht="15" hidden="0">
      <x:c r="A10" s="6" t="s">
        <x:v>199</x:v>
      </x:c>
      <x:c r="B10" s="36" t="n">
        <x:f aca="0">B5*12</x:f>
        <x:v>689.7080236033412</x:v>
      </x:c>
    </x:row>
    <x:row r="12" ht="15" hidden="0">
      <x:c r="A12" s="11" t="s">
        <x:v>200</x:v>
      </x:c>
      <x:c r="B12" s="12"/>
      <x:c r="C12" s="12"/>
      <x:c r="D12" s="12"/>
      <x:c r="E12" s="12"/>
      <x:c r="F12" s="12"/>
      <x:c r="G12" s="12"/>
      <x:c r="H12" s="12"/>
    </x:row>
    <x:row r="13" ht="15" hidden="0">
      <x:c r="A13" s="6" t="s">
        <x:v>201</x:v>
      </x:c>
      <x:c r="B13" s="27" t="n">
        <x:v>150000</x:v>
      </x:c>
      <x:c r="D13" s="3" t="str">
        <x:v>$150k/năm là quota giả định bảo thủ cho early-stage VN B2B, thấp hơn benchmark $500k của Tunguz.</x:v>
      </x:c>
    </x:row>
    <x:row r="14" ht="15" hidden="0">
      <x:c r="A14" s="6" t="s">
        <x:v>202</x:v>
      </x:c>
      <x:c r="B14" s="14" t="n">
        <x:v>250</x:v>
      </x:c>
      <x:c r="C14" s="3" t="s">
        <x:v>203</x:v>
      </x:c>
    </x:row>
    <x:row r="15" ht="15" hidden="0">
      <x:c r="A15" s="6" t="s">
        <x:v>204</x:v>
      </x:c>
      <x:c r="B15" s="16" t="n">
        <x:f aca="0">IF(B10=0,0,B13/B10)</x:f>
        <x:v>217.48333333333335</x:v>
      </x:c>
    </x:row>
    <x:row r="16" ht="15" hidden="0">
      <x:c r="A16" s="10" t="s">
        <x:v>205</x:v>
      </x:c>
      <x:c r="B16" s="37" t="n">
        <x:f aca="0">IF(B14=0,0,B15/B14)</x:f>
        <x:v>0.8699333333333334</x:v>
      </x:c>
      <x:c r="C16" s="3" t="s">
        <x:v>206</x:v>
      </x:c>
    </x:row>
    <x:row r="17" ht="15" hidden="0">
      <x:c r="A17" s="6" t="s">
        <x:v>207</x:v>
      </x:c>
      <x:c r="B17" s="7" t="str">
        <x:f aca="0">IF(B16&lt;=1,"KHẢ THI về mặt số học","BẤT KHẢ THI — ACV quá thấp để nuôi sales rep")</x:f>
        <x:v>KHẢ THI về mặt số học</x:v>
      </x:c>
    </x:row>
    <x:row r="19" ht="15" hidden="0">
      <x:c r="A19" s="11" t="s">
        <x:v>208</x:v>
      </x:c>
      <x:c r="B19" s="12"/>
      <x:c r="C19" s="12"/>
      <x:c r="D19" s="12"/>
      <x:c r="E19" s="12"/>
      <x:c r="F19" s="12"/>
      <x:c r="G19" s="12"/>
      <x:c r="H19" s="12"/>
    </x:row>
    <x:row r="20" ht="15" hidden="0">
      <x:c r="A20" s="6" t="s">
        <x:v>209</x:v>
      </x:c>
      <x:c r="B20" s="27" t="n">
        <x:v>8000</x:v>
      </x:c>
      <x:c r="D20" s="3" t="str">
        <x:v>ICONIQ 2026 mid-market cost/opportunity benchmark = $8,000; dùng làm stress-test sales motion.</x:v>
      </x:c>
    </x:row>
    <x:row r="21" ht="15" hidden="0">
      <x:c r="A21" s="6" t="s">
        <x:v>210</x:v>
      </x:c>
      <x:c r="B21" s="15" t="n">
        <x:v>0.25</x:v>
      </x:c>
      <x:c r="D21" t="str">
        <x:v>25% win rate là giả định benchmark của bài; chưa phải dữ liệu Internova.</x:v>
      </x:c>
    </x:row>
    <x:row r="22" ht="15" hidden="0">
      <x:c r="A22" s="6" t="s">
        <x:v>211</x:v>
      </x:c>
      <x:c r="B22" s="36" t="n">
        <x:f aca="0">IF(B21=0,0,B20/B21)</x:f>
        <x:v>32000</x:v>
      </x:c>
    </x:row>
    <x:row r="23" ht="15" hidden="0">
      <x:c r="A23" s="10" t="s">
        <x:v>212</x:v>
      </x:c>
      <x:c r="B23" s="38" t="n">
        <x:f aca="0">IF(B9=0,0,B22/B9)</x:f>
        <x:v>43.82509148082889</x:v>
      </x:c>
      <x:c r="D23" s="3" t="s">
        <x:v>213</x:v>
      </x:c>
    </x:row>
    <x:row r="24" ht="15" hidden="0">
      <x:c r="A24" s="6" t="s">
        <x:v>147</x:v>
      </x:c>
      <x:c r="B24" s="7" t="str">
        <x:f aca="0">IF(B23&lt;=1,"Motion có sales KHẢ THI",IF(B23&lt;=3,"Căng — cần tăng giá hoặc giảm chi phí bán hàng","KHÔNG KHẢ THI — đi PLG hoặc Partner-Led"))</x:f>
        <x:v>KHÔNG KHẢ THI — đi PLG hoặc Partner-Led</x:v>
      </x:c>
    </x:row>
    <x:row r="26" ht="15" hidden="0">
      <x:c r="A26" s="11" t="s">
        <x:v>214</x:v>
      </x:c>
      <x:c r="B26" s="12"/>
      <x:c r="C26" s="12"/>
      <x:c r="D26" s="12"/>
      <x:c r="E26" s="12"/>
      <x:c r="F26" s="12"/>
      <x:c r="G26" s="12"/>
      <x:c r="H26" s="12"/>
    </x:row>
    <x:row r="27" ht="15" hidden="0">
      <x:c r="A27" s="31" t="s">
        <x:v>215</x:v>
      </x:c>
      <x:c r="B27" s="31" t="s">
        <x:v>216</x:v>
      </x:c>
      <x:c r="C27" s="31" t="s">
        <x:v>217</x:v>
      </x:c>
      <x:c r="D27" s="31" t="s">
        <x:v>218</x:v>
      </x:c>
    </x:row>
    <x:row r="28" ht="15" hidden="0">
      <x:c r="A28" s="6" t="s">
        <x:v>219</x:v>
      </x:c>
      <x:c r="B28" s="13" t="n">
        <x:v>4</x:v>
      </x:c>
      <x:c r="C28" s="13" t="n">
        <x:v>1</x:v>
      </x:c>
      <x:c r="D28" s="13" t="n">
        <x:v>5</x:v>
      </x:c>
    </x:row>
    <x:row r="29" ht="15" hidden="0">
      <x:c r="A29" s="6" t="s">
        <x:v>220</x:v>
      </x:c>
      <x:c r="B29" s="13" t="n">
        <x:v>2</x:v>
      </x:c>
      <x:c r="C29" s="13" t="n">
        <x:v>4</x:v>
      </x:c>
      <x:c r="D29" s="13" t="n">
        <x:v>4</x:v>
      </x:c>
    </x:row>
    <x:row r="30" ht="15" hidden="0">
      <x:c r="A30" s="6" t="s">
        <x:v>221</x:v>
      </x:c>
      <x:c r="B30" s="13" t="n">
        <x:v>3</x:v>
      </x:c>
      <x:c r="C30" s="13" t="n">
        <x:v>3</x:v>
      </x:c>
      <x:c r="D30" s="13" t="n">
        <x:v>3</x:v>
      </x:c>
    </x:row>
    <x:row r="31" ht="15" hidden="0">
      <x:c r="A31" s="6" t="s">
        <x:v>222</x:v>
      </x:c>
      <x:c r="B31" s="13" t="n">
        <x:v>3</x:v>
      </x:c>
      <x:c r="C31" s="13" t="n">
        <x:v>4</x:v>
      </x:c>
      <x:c r="D31" s="13" t="n">
        <x:v>2</x:v>
      </x:c>
    </x:row>
    <x:row r="32" ht="15" hidden="0">
      <x:c r="A32" s="6" t="s">
        <x:v>223</x:v>
      </x:c>
      <x:c r="B32" s="13" t="n">
        <x:v>2</x:v>
      </x:c>
      <x:c r="C32" s="13" t="n">
        <x:v>3</x:v>
      </x:c>
      <x:c r="D32" s="13" t="n">
        <x:v>5</x:v>
      </x:c>
    </x:row>
    <x:row r="33" ht="15" hidden="0">
      <x:c r="A33" s="6" t="s">
        <x:v>224</x:v>
      </x:c>
      <x:c r="B33" s="13" t="n">
        <x:v>4</x:v>
      </x:c>
      <x:c r="C33" s="13" t="n">
        <x:v>4</x:v>
      </x:c>
      <x:c r="D33" s="13" t="n">
        <x:v>4</x:v>
      </x:c>
    </x:row>
    <x:row r="34" ht="15" hidden="0">
      <x:c r="A34" s="10" t="s">
        <x:v>225</x:v>
      </x:c>
      <x:c r="B34" s="34" t="n">
        <x:f aca="0">SUM(B28:B33)</x:f>
        <x:v>18</x:v>
      </x:c>
      <x:c r="C34" s="34" t="n">
        <x:f aca="0">SUM(C28:C33)</x:f>
        <x:v>19</x:v>
      </x:c>
      <x:c r="D34" s="34" t="n">
        <x:f aca="0">SUM(D28:D33)</x:f>
        <x:v>23</x:v>
      </x:c>
    </x:row>
    <x:row r="35" ht="15" hidden="0">
      <x:c r="A35" s="10" t="s">
        <x:v>226</x:v>
      </x:c>
      <x:c r="B35" s="34" t="str">
        <x:f aca="0">IF(AND(B34&gt;=C34,B34&gt;=D34),"PLG",IF(C34&gt;=D34,"Sales-Led","Partner-Led"))</x:f>
        <x:v>Partner-Led</x:v>
      </x:c>
    </x:row>
    <x:row r="37" ht="15" hidden="0">
      <x:c r="A37" s="11" t="s">
        <x:v>227</x:v>
      </x:c>
      <x:c r="B37" s="12"/>
      <x:c r="C37" s="12"/>
      <x:c r="D37" s="12"/>
      <x:c r="E37" s="12"/>
      <x:c r="F37" s="12"/>
      <x:c r="G37" s="12"/>
      <x:c r="H37" s="12"/>
    </x:row>
    <x:row r="38" ht="15" hidden="0">
      <x:c r="A38" s="6" t="s">
        <x:v>228</x:v>
      </x:c>
      <x:c r="B38" s="5" t="str">
        <x:v>Partner-Led</x:v>
      </x:c>
      <x:c r="D38" s="3" t="s">
        <x:v>229</x:v>
      </x:c>
    </x:row>
    <x:row r="39" ht="15" hidden="0">
      <x:c r="A39" s="6" t="s">
        <x:v>230</x:v>
      </x:c>
      <x:c r="B39" s="5" t="str">
        <x:v>TopCV Vietnam</x:v>
      </x:c>
      <x:c r="D39" s="3" t="s">
        <x:v>231</x:v>
      </x:c>
    </x:row>
    <x:row r="40" ht="15" hidden="0">
      <x:c r="A40" s="6" t="s">
        <x:v>232</x:v>
      </x:c>
      <x:c r="B40" s="5" t="str">
        <x:v>Chưa</x:v>
      </x:c>
    </x:row>
    <x:row r="41" ht="38" hidden="0" customHeight="1">
      <x:c r="A41" s="6" t="s">
        <x:v>233</x:v>
      </x:c>
      <x:c r="B41" s="86" t="str">
        <x:v>TopCV nhận thêm trợ lý thực tập grounded theo chính sách trường, giảm FAQ và tăng engagement sinh viên.</x:v>
      </x:c>
      <x:c r="C41" s="87"/>
      <x:c r="D41" s="87"/>
    </x:row>
    <x:row r="42" ht="38" hidden="0" customHeight="1">
      <x:c r="A42" s="6" t="s">
        <x:v>234</x:v>
      </x:c>
      <x:c r="B42" s="86" t="str">
        <x:v>Trong 14 ngày phải có &gt;=1 partner meeting; nếu không, falsify Partner-Led và chỉ founder-led pilot để tạo evidence.</x:v>
      </x:c>
      <x:c r="C42" s="87"/>
      <x:c r="D42" s="90" t="s">
        <x:v>235</x:v>
      </x:c>
    </x:row>
  </x:sheetData>
  <x:mergeCells>
    <x:mergeCell ref="B41:D41"/>
    <x:mergeCell ref="B42:D42"/>
  </x:mergeCells>
  <x:dataValidations count="1">
    <x:dataValidation type="list" errorStyle="stop" operator="between" allowBlank="0" showDropDown="0" showInputMessage="0" showErrorMessage="0" sqref="B7">
      <x:formula1>"SMB,Mid,Enterprise"</x:formula1>
      <x:formula2>0</x:formula2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30" hidden="0" customWidth="1"/>
    <x:col min="2" max="4" width="34" hidden="0" customWidth="1"/>
    <x:col min="5" max="8" width="15" hidden="0" customWidth="1"/>
  </x:cols>
  <x:sheetData>
    <x:row r="1" ht="24" hidden="0" customHeight="1">
      <x:c r="A1" s="1" t="s">
        <x:v>236</x:v>
      </x:c>
      <x:c r="B1" s="2"/>
      <x:c r="C1" s="2"/>
      <x:c r="D1" s="2"/>
      <x:c r="E1" s="2"/>
      <x:c r="F1" s="2"/>
      <x:c r="G1" s="2"/>
      <x:c r="H1" s="2"/>
    </x:row>
    <x:row r="2" ht="15" hidden="0">
      <x:c r="A2" s="3" t="s">
        <x:v>237</x:v>
      </x:c>
    </x:row>
    <x:row r="4" ht="15" hidden="0">
      <x:c r="A4" s="11" t="s">
        <x:v>238</x:v>
      </x:c>
      <x:c r="B4" s="12"/>
      <x:c r="C4" s="12"/>
      <x:c r="D4" s="12"/>
      <x:c r="E4" s="12"/>
      <x:c r="F4" s="12"/>
      <x:c r="G4" s="12"/>
      <x:c r="H4" s="12"/>
    </x:row>
    <x:row r="5" ht="28" hidden="0" customHeight="1">
      <x:c r="A5" s="6" t="s">
        <x:v>239</x:v>
      </x:c>
      <x:c r="B5" s="86" t="str">
        <x:v>21:00-23:00, đặc biệt 24-48 giờ trước deadline thực tập</x:v>
      </x:c>
    </x:row>
    <x:row r="6" ht="28" hidden="0" customHeight="1">
      <x:c r="A6" s="6" t="s">
        <x:v>240</x:v>
      </x:c>
      <x:c r="B6" s="86" t="str">
        <x:v>Sinh viên đang hoàn thiện form/CV, kiểm tra deadline/quy định và cần câu trả lời ngay khi Career Services đã ngoài giờ.</x:v>
      </x:c>
    </x:row>
    <x:row r="7" ht="28" hidden="0" customHeight="1">
      <x:c r="A7" s="6" t="s">
        <x:v>241</x:v>
      </x:c>
      <x:c r="B7" s="86" t="str">
        <x:v>VinUni Student Portal / LMS + email hướng dẫn thực tập</x:v>
      </x:c>
    </x:row>
    <x:row r="8" ht="28" hidden="0" customHeight="1">
      <x:c r="A8" s="6" t="s">
        <x:v>242</x:v>
      </x:c>
      <x:c r="B8" s="86" t="str">
        <x:v>Widget/deep link Internova trong VinUni Student Portal/LMS; khi mở rộng, phân phối qua luồng internship của TopCV.</x:v>
      </x:c>
      <x:c r="D8" s="3" t="s">
        <x:v>243</x:v>
      </x:c>
    </x:row>
    <x:row r="10" ht="15" hidden="0">
      <x:c r="A10" s="11" t="s">
        <x:v>244</x:v>
      </x:c>
      <x:c r="B10" s="12"/>
      <x:c r="C10" s="12"/>
      <x:c r="D10" s="12"/>
      <x:c r="E10" s="12"/>
      <x:c r="F10" s="12"/>
      <x:c r="G10" s="12"/>
      <x:c r="H10" s="12"/>
    </x:row>
    <x:row r="11" ht="15" hidden="0">
      <x:c r="A11" s="31"/>
      <x:c r="B11" s="31" t="s">
        <x:v>245</x:v>
      </x:c>
      <x:c r="C11" s="31" t="s">
        <x:v>246</x:v>
      </x:c>
      <x:c r="D11" s="31" t="s">
        <x:v>247</x:v>
      </x:c>
    </x:row>
    <x:row r="12" ht="30" hidden="0" customHeight="1">
      <x:c r="A12" s="6" t="s">
        <x:v>248</x:v>
      </x:c>
      <x:c r="B12" s="39" t="str">
        <x:v>Partner-Led - kiểm chứng TopCV + pilot VinUni</x:v>
      </x:c>
      <x:c r="C12" s="39" t="str">
        <x:v>Partner-Led - pilot + repeatable partner motion</x:v>
      </x:c>
      <x:c r="D12" s="39" t="str">
        <x:v>Partner-Led - mở rộng cùng một ngách</x:v>
      </x:c>
    </x:row>
    <x:row r="13" ht="30" hidden="0" customHeight="1">
      <x:c r="A13" s="6" t="s">
        <x:v>249</x:v>
      </x:c>
      <x:c r="B13" s="39" t="str">
        <x:v>1 pilot org + 1 partner meeting</x:v>
      </x:c>
      <x:c r="C13" s="39" t="str">
        <x:v>3 pilot discussions / 2 active pilots</x:v>
      </x:c>
      <x:c r="D13" s="39" t="str">
        <x:v>5-8 tổ chức trong ngách đại học-thực tập</x:v>
      </x:c>
    </x:row>
    <x:row r="14" ht="30" hidden="0" customHeight="1">
      <x:c r="A14" s="6" t="s">
        <x:v>250</x:v>
      </x:c>
      <x:c r="B14" s="39" t="str">
        <x:v>Phỏng vấn 10 người: 6 sinh viên + 4 staff để kiểm tra Job/Pain Moment.</x:v>
      </x:c>
      <x:c r="C14" s="39" t="str">
        <x:v>Chạy pilot VinUni 4 tuần với &gt;=50 users và &gt;=300 support attempts.</x:v>
      </x:c>
      <x:c r="D14" s="39" t="str">
        <x:v>Chuẩn hóa onboarding + Knowledge Base ingestion pack.</x:v>
      </x:c>
    </x:row>
    <x:row r="15" ht="30" hidden="0" customHeight="1">
      <x:c r="A15" s="6" t="s">
        <x:v>251</x:v>
      </x:c>
      <x:c r="B15" s="39" t="str">
        <x:v>Tạo &gt;=150 eval cases; đo containment, groundedness, citation accuracy.</x:v>
      </x:c>
      <x:c r="C15" s="39" t="str">
        <x:v>Nhúng deep link/widget vào Student Portal/LMS và thu logs theo completed job.</x:v>
      </x:c>
      <x:c r="D15" s="39" t="str">
        <x:v>Dùng Pilot Report để mở rộng 5-8 tổ chức cùng ngách.</x:v>
      </x:c>
    </x:row>
    <x:row r="16" ht="30" hidden="0" customHeight="1">
      <x:c r="A16" s="6" t="s">
        <x:v>252</x:v>
      </x:c>
      <x:c r="B16" s="39" t="str">
        <x:v>Tiếp cận TopCV; mục tiêu có 1 cuộc họp partner trong 14 ngày.</x:v>
      </x:c>
      <x:c r="C16" s="39" t="str">
        <x:v>Dùng evidence để mở 3 cuộc thảo luận pilot tiếp theo qua partner motion.</x:v>
      </x:c>
      <x:c r="D16" s="39" t="str">
        <x:v>Bật usage metering/overage và đề xuất rev-share nếu partner channel chứng minh CAC thấp.</x:v>
      </x:c>
    </x:row>
    <x:row r="17" ht="30" hidden="0" customHeight="1">
      <x:c r="A17" s="6" t="s">
        <x:v>253</x:v>
      </x:c>
      <x:c r="B17" s="39" t="str">
        <x:v>&gt;=10 interviews; &gt;=150 eval cases; có baseline containment; 1 partner meeting.</x:v>
      </x:c>
      <x:c r="C17" s="39" t="str">
        <x:v>Containment &gt;=75%; grounded &gt;=90%; citation &gt;=95%; &gt;=300 attempts; 3 pilot discussions.</x:v>
      </x:c>
      <x:c r="D17" s="39" t="str">
        <x:v>&gt;=2 paid annual contracts; partner CAC/rev-share nằm trong CAC budget hoặc có lý do điều chỉnh.</x:v>
      </x:c>
    </x:row>
    <x:row r="18" ht="30" hidden="0" customHeight="1">
      <x:c r="A18" s="6" t="s">
        <x:v>254</x:v>
      </x:c>
      <x:c r="B18" s="39" t="str">
        <x:v>Vũ Huy Hoàng - Product/PM + AI/Engineering team</x:v>
      </x:c>
      <x:c r="C18" s="39" t="str">
        <x:v>Vũ Huy Hoàng - Product/PM + Pilot owner</x:v>
      </x:c>
      <x:c r="D18" s="39" t="str">
        <x:v>Vũ Huy Hoàng - Product/Partnership + Engineering</x:v>
      </x:c>
    </x:row>
    <x:row r="19" ht="15" hidden="0">
      <x:c r="A19" s="3" t="s">
        <x:v>255</x:v>
      </x:c>
    </x:row>
    <x:row r="21" ht="15" hidden="0">
      <x:c r="A21" s="11" t="s">
        <x:v>256</x:v>
      </x:c>
      <x:c r="B21" s="12"/>
      <x:c r="C21" s="12"/>
      <x:c r="D21" s="12"/>
      <x:c r="E21" s="12"/>
      <x:c r="F21" s="12"/>
      <x:c r="G21" s="12"/>
      <x:c r="H21" s="12"/>
    </x:row>
    <x:row r="22" ht="15" hidden="0">
      <x:c r="A22" s="31" t="s">
        <x:v>257</x:v>
      </x:c>
      <x:c r="B22" s="31" t="s">
        <x:v>258</x:v>
      </x:c>
      <x:c r="C22" s="31" t="s">
        <x:v>259</x:v>
      </x:c>
      <x:c r="D22" s="31" t="s">
        <x:v>260</x:v>
      </x:c>
    </x:row>
    <x:row r="23" ht="78" hidden="0" customHeight="1">
      <x:c r="A23" s="136" t="s">
        <x:v>261</x:v>
      </x:c>
      <x:c r="B23" s="132" t="str">
        <x:v>Rồi (system evidence)</x:v>
      </x:c>
      <x:c r="C23" s="132" t="str">
        <x:v>Có job-level logs + RAG Analytics đo answer_status, confidence, sources, groundedness/faithfulness/answer relevance. 78% vẫn là pricing assumption; không claim là kết quả frozen 150-case Eval.</x:v>
      </x:c>
      <x:c r="D23" s="132" t="str">
        <x:v>Vũ Huy Hoàng + AI/Engineering · evidence snapshot 27/08/2026</x:v>
      </x:c>
    </x:row>
    <x:row r="24" ht="86" hidden="0" customHeight="1">
      <x:c r="A24" s="136" t="s">
        <x:v>262</x:v>
      </x:c>
      <x:c r="B24" s="132" t="str">
        <x:v>Rồi</x:v>
      </x:c>
      <x:c r="C24" s="132" t="str">
        <x:v>Đã lập Risk Checklist từ code thật: fail-closed khi evidence thiếu; personal DB bị privacy-gate; OpenAI API không train input/output mặc định; chat có permanent delete. Full self-service export là remediation còn mở.</x:v>
      </x:c>
      <x:c r="D24" s="132" t="str">
        <x:v>Vũ Huy Hoàng + Engineering · reviewed 27/08/2026</x:v>
      </x:c>
    </x:row>
    <x:row r="25" ht="78" hidden="0" customHeight="1">
      <x:c r="A25" s="136" t="s">
        <x:v>263</x:v>
      </x:c>
      <x:c r="B25" s="132" t="str">
        <x:v>Rồi (pre-pilot)</x:v>
      </x:c>
      <x:c r="C25" s="132" t="str">
        <x:v>Có Pre-Pilot Readiness Report dựa trên logging, groundedness, source tracking, privacy gate, delete flow và peer test PASS. Chưa claim external VinUni 4-week / 300-attempt outcome.</x:v>
      </x:c>
      <x:c r="D25" s="132" t="str">
        <x:v>Vũ Huy Hoàng + Pilot owner · readiness snapshot 27/08/2026</x:v>
      </x:c>
    </x:row>
    <x:row r="26" ht="15" hidden="0">
      <x:c r="A26" s="3" t="s">
        <x:v>264</x:v>
      </x:c>
    </x:row>
    <x:row r="28" ht="15" hidden="0">
      <x:c r="A28" s="11" t="s">
        <x:v>265</x:v>
      </x:c>
      <x:c r="B28" s="12"/>
      <x:c r="C28" s="12"/>
      <x:c r="D28" s="12"/>
      <x:c r="E28" s="12"/>
      <x:c r="F28" s="12"/>
      <x:c r="G28" s="12"/>
      <x:c r="H28" s="12"/>
    </x:row>
    <x:row r="29" ht="15" hidden="0">
      <x:c r="A29" s="6" t="s">
        <x:v>266</x:v>
      </x:c>
      <x:c r="B29" s="5" t="str">
        <x:v>Được</x:v>
      </x:c>
    </x:row>
    <x:row r="30" ht="15" hidden="0">
      <x:c r="A30" s="6" t="s">
        <x:v>267</x:v>
      </x:c>
      <x:c r="B30" s="5" t="str">
        <x:v>Được</x:v>
      </x:c>
    </x:row>
    <x:row r="31" ht="15" hidden="0">
      <x:c r="A31" s="6" t="s">
        <x:v>268</x:v>
      </x:c>
      <x:c r="B31" s="5" t="str">
        <x:v>Được</x:v>
      </x:c>
    </x:row>
    <x:row r="32" ht="15" hidden="0">
      <x:c r="A32" s="6" t="s">
        <x:v>269</x:v>
      </x:c>
      <x:c r="B32" s="5" t="str">
        <x:v>≤ 3 - ĐẠT (đã peer-test)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26" hidden="0" customWidth="1"/>
    <x:col min="2" max="2" width="30" hidden="0" customWidth="1"/>
    <x:col min="3" max="3" width="20" hidden="0" customWidth="1"/>
    <x:col min="4" max="4" width="16" hidden="0" customWidth="1"/>
    <x:col min="5" max="5" width="56" hidden="0" customWidth="1"/>
    <x:col min="6" max="8" width="15" hidden="0" customWidth="1"/>
  </x:cols>
  <x:sheetData>
    <x:row r="1" ht="24" hidden="0" customHeight="1">
      <x:c r="A1" s="1" t="s">
        <x:v>270</x:v>
      </x:c>
      <x:c r="B1" s="2"/>
      <x:c r="C1" s="2"/>
      <x:c r="D1" s="2"/>
      <x:c r="E1" s="2"/>
      <x:c r="F1" s="2"/>
      <x:c r="G1" s="2"/>
      <x:c r="H1" s="2"/>
    </x:row>
    <x:row r="2" ht="15" hidden="0">
      <x:c r="A2" s="3" t="s">
        <x:v>271</x:v>
      </x:c>
    </x:row>
    <x:row r="3" ht="15" hidden="0">
      <x:c r="A3" s="6" t="s">
        <x:v>272</x:v>
      </x:c>
      <x:c r="B3" s="5" t="str">
        <x:v>27/08/2026</x:v>
      </x:c>
      <x:c r="D3" s="3" t="s">
        <x:v>273</x:v>
      </x:c>
    </x:row>
    <x:row r="5" ht="15" hidden="0">
      <x:c r="A5" s="40" t="s">
        <x:v>274</x:v>
      </x:c>
      <x:c r="B5" s="40" t="s">
        <x:v>275</x:v>
      </x:c>
      <x:c r="C5" s="40" t="s">
        <x:v>276</x:v>
      </x:c>
      <x:c r="D5" s="40" t="s">
        <x:v>277</x:v>
      </x:c>
      <x:c r="E5" s="40" t="s">
        <x:v>278</x:v>
      </x:c>
    </x:row>
    <x:row r="6" ht="15" hidden="0">
      <x:c r="A6" s="41" t="s">
        <x:v>107</x:v>
      </x:c>
      <x:c r="B6" s="41" t="s">
        <x:v>279</x:v>
      </x:c>
      <x:c r="C6" s="41" t="s">
        <x:v>280</x:v>
      </x:c>
      <x:c r="D6" s="41" t="s">
        <x:v>281</x:v>
      </x:c>
      <x:c r="E6" s="42" t="s">
        <x:v>282</x:v>
      </x:c>
    </x:row>
    <x:row r="7" ht="15" hidden="0">
      <x:c r="A7" s="41" t="s">
        <x:v>107</x:v>
      </x:c>
      <x:c r="B7" s="41" t="s">
        <x:v>283</x:v>
      </x:c>
      <x:c r="C7" s="41" t="s">
        <x:v>284</x:v>
      </x:c>
      <x:c r="D7" s="41" t="s">
        <x:v>281</x:v>
      </x:c>
      <x:c r="E7" s="42" t="s">
        <x:v>282</x:v>
      </x:c>
    </x:row>
    <x:row r="8" ht="15" hidden="0">
      <x:c r="A8" s="41" t="s">
        <x:v>107</x:v>
      </x:c>
      <x:c r="B8" s="41" t="s">
        <x:v>285</x:v>
      </x:c>
      <x:c r="C8" s="41" t="s">
        <x:v>286</x:v>
      </x:c>
      <x:c r="D8" s="41" t="s">
        <x:v>281</x:v>
      </x:c>
      <x:c r="E8" s="42" t="s">
        <x:v>282</x:v>
      </x:c>
    </x:row>
    <x:row r="9" ht="15" hidden="0">
      <x:c r="A9" s="41" t="s">
        <x:v>107</x:v>
      </x:c>
      <x:c r="B9" s="41" t="s">
        <x:v>287</x:v>
      </x:c>
      <x:c r="C9" s="41" t="s">
        <x:v>288</x:v>
      </x:c>
      <x:c r="D9" s="41" t="s">
        <x:v>289</x:v>
      </x:c>
      <x:c r="E9" s="42" t="s">
        <x:v>282</x:v>
      </x:c>
    </x:row>
    <x:row r="10" ht="22.350000381469727" hidden="0">
      <x:c r="A10" s="41" t="s">
        <x:v>107</x:v>
      </x:c>
      <x:c r="B10" s="41" t="s">
        <x:v>290</x:v>
      </x:c>
      <x:c r="C10" s="41" t="s">
        <x:v>291</x:v>
      </x:c>
      <x:c r="D10" s="41" t="s">
        <x:v>281</x:v>
      </x:c>
      <x:c r="E10" s="42" t="s">
        <x:v>292</x:v>
      </x:c>
    </x:row>
    <x:row r="11" ht="15" hidden="0">
      <x:c r="A11" s="41" t="s">
        <x:v>107</x:v>
      </x:c>
      <x:c r="B11" s="41" t="s">
        <x:v>293</x:v>
      </x:c>
      <x:c r="C11" s="41" t="s">
        <x:v>294</x:v>
      </x:c>
      <x:c r="D11" s="41" t="s">
        <x:v>281</x:v>
      </x:c>
      <x:c r="E11" s="42" t="s">
        <x:v>295</x:v>
      </x:c>
    </x:row>
    <x:row r="12" ht="15" hidden="0">
      <x:c r="A12" s="41" t="s">
        <x:v>107</x:v>
      </x:c>
      <x:c r="B12" s="41" t="s">
        <x:v>296</x:v>
      </x:c>
      <x:c r="C12" s="41" t="s">
        <x:v>297</x:v>
      </x:c>
      <x:c r="D12" s="41" t="s">
        <x:v>289</x:v>
      </x:c>
      <x:c r="E12" s="42" t="s">
        <x:v>295</x:v>
      </x:c>
    </x:row>
    <x:row r="13" ht="15" hidden="0">
      <x:c r="A13" s="41" t="s">
        <x:v>107</x:v>
      </x:c>
      <x:c r="B13" s="41" t="s">
        <x:v>298</x:v>
      </x:c>
      <x:c r="C13" s="41" t="s">
        <x:v>299</x:v>
      </x:c>
      <x:c r="D13" s="41" t="s">
        <x:v>281</x:v>
      </x:c>
      <x:c r="E13" s="42" t="s">
        <x:v>300</x:v>
      </x:c>
    </x:row>
    <x:row r="14" ht="22.350000381469727" hidden="0">
      <x:c r="A14" s="41" t="s">
        <x:v>107</x:v>
      </x:c>
      <x:c r="B14" s="41" t="s">
        <x:v>301</x:v>
      </x:c>
      <x:c r="C14" s="41" t="s">
        <x:v>302</x:v>
      </x:c>
      <x:c r="D14" s="41" t="s">
        <x:v>281</x:v>
      </x:c>
      <x:c r="E14" s="42" t="s">
        <x:v>303</x:v>
      </x:c>
    </x:row>
    <x:row r="15" ht="15" hidden="0">
      <x:c r="A15" s="41" t="s">
        <x:v>304</x:v>
      </x:c>
      <x:c r="B15" s="41" t="s">
        <x:v>305</x:v>
      </x:c>
      <x:c r="C15" s="41" t="s">
        <x:v>306</x:v>
      </x:c>
      <x:c r="D15" s="41" t="s">
        <x:v>307</x:v>
      </x:c>
      <x:c r="E15" s="42" t="s">
        <x:v>308</x:v>
      </x:c>
    </x:row>
    <x:row r="16" ht="15" hidden="0">
      <x:c r="A16" s="41" t="s">
        <x:v>304</x:v>
      </x:c>
      <x:c r="B16" s="41" t="s">
        <x:v>309</x:v>
      </x:c>
      <x:c r="C16" s="41" t="s">
        <x:v>310</x:v>
      </x:c>
      <x:c r="D16" s="41" t="s">
        <x:v>307</x:v>
      </x:c>
      <x:c r="E16" s="42" t="s">
        <x:v>311</x:v>
      </x:c>
    </x:row>
    <x:row r="17" ht="15" hidden="0">
      <x:c r="A17" s="41" t="s">
        <x:v>304</x:v>
      </x:c>
      <x:c r="B17" s="41" t="s">
        <x:v>312</x:v>
      </x:c>
      <x:c r="C17" s="41" t="s">
        <x:v>313</x:v>
      </x:c>
      <x:c r="D17" s="41" t="s">
        <x:v>307</x:v>
      </x:c>
      <x:c r="E17" s="42" t="s">
        <x:v>314</x:v>
      </x:c>
    </x:row>
    <x:row r="18" ht="15" hidden="0">
      <x:c r="A18" s="41" t="s">
        <x:v>304</x:v>
      </x:c>
      <x:c r="B18" s="41" t="s">
        <x:v>315</x:v>
      </x:c>
      <x:c r="C18" s="41" t="s">
        <x:v>316</x:v>
      </x:c>
      <x:c r="D18" s="41" t="s">
        <x:v>307</x:v>
      </x:c>
      <x:c r="E18" s="42" t="s">
        <x:v>295</x:v>
      </x:c>
    </x:row>
    <x:row r="19" ht="15" hidden="0">
      <x:c r="A19" s="41" t="s">
        <x:v>317</x:v>
      </x:c>
      <x:c r="B19" s="41" t="s">
        <x:v>318</x:v>
      </x:c>
      <x:c r="C19" s="41" t="s">
        <x:v>319</x:v>
      </x:c>
      <x:c r="D19" s="41" t="s">
        <x:v>320</x:v>
      </x:c>
      <x:c r="E19" s="42" t="s">
        <x:v>321</x:v>
      </x:c>
    </x:row>
    <x:row r="20" ht="15" hidden="0">
      <x:c r="A20" s="41" t="s">
        <x:v>317</x:v>
      </x:c>
      <x:c r="B20" s="41" t="s">
        <x:v>322</x:v>
      </x:c>
      <x:c r="C20" s="41" t="s">
        <x:v>323</x:v>
      </x:c>
      <x:c r="D20" s="41" t="s">
        <x:v>320</x:v>
      </x:c>
      <x:c r="E20" s="42" t="s">
        <x:v>295</x:v>
      </x:c>
    </x:row>
    <x:row r="21" ht="15" hidden="0">
      <x:c r="A21" s="41" t="s">
        <x:v>317</x:v>
      </x:c>
      <x:c r="B21" s="41" t="s">
        <x:v>324</x:v>
      </x:c>
      <x:c r="C21" s="41" t="s">
        <x:v>325</x:v>
      </x:c>
      <x:c r="D21" s="41" t="s">
        <x:v>320</x:v>
      </x:c>
      <x:c r="E21" s="42" t="s">
        <x:v>326</x:v>
      </x:c>
    </x:row>
    <x:row r="22" ht="15" hidden="0">
      <x:c r="A22" s="41" t="s">
        <x:v>317</x:v>
      </x:c>
      <x:c r="B22" s="41" t="s">
        <x:v>327</x:v>
      </x:c>
      <x:c r="C22" s="41" t="s">
        <x:v>328</x:v>
      </x:c>
      <x:c r="D22" s="41" t="s">
        <x:v>320</x:v>
      </x:c>
      <x:c r="E22" s="42" t="s">
        <x:v>326</x:v>
      </x:c>
    </x:row>
    <x:row r="23" ht="15" hidden="0">
      <x:c r="A23" s="41" t="s">
        <x:v>329</x:v>
      </x:c>
      <x:c r="B23" s="41" t="s">
        <x:v>330</x:v>
      </x:c>
      <x:c r="C23" s="41" t="s">
        <x:v>331</x:v>
      </x:c>
      <x:c r="D23" s="41" t="s">
        <x:v>332</x:v>
      </x:c>
      <x:c r="E23" s="42" t="s">
        <x:v>333</x:v>
      </x:c>
    </x:row>
    <x:row r="24" ht="15" hidden="0">
      <x:c r="A24" s="41" t="s">
        <x:v>334</x:v>
      </x:c>
      <x:c r="B24" s="41" t="s">
        <x:v>335</x:v>
      </x:c>
      <x:c r="C24" s="41" t="s">
        <x:v>336</x:v>
      </x:c>
      <x:c r="D24" s="41" t="s">
        <x:v>337</x:v>
      </x:c>
      <x:c r="E24" s="42" t="s">
        <x:v>338</x:v>
      </x:c>
    </x:row>
    <x:row r="25" ht="15" hidden="0">
      <x:c r="A25" s="41" t="s">
        <x:v>334</x:v>
      </x:c>
      <x:c r="B25" s="41" t="s">
        <x:v>339</x:v>
      </x:c>
      <x:c r="C25" s="41" t="s">
        <x:v>340</x:v>
      </x:c>
      <x:c r="D25" s="41" t="s">
        <x:v>337</x:v>
      </x:c>
      <x:c r="E25" s="42" t="s">
        <x:v>341</x:v>
      </x:c>
    </x:row>
    <x:row r="26" ht="22.350000381469727" hidden="0">
      <x:c r="A26" s="41" t="s">
        <x:v>334</x:v>
      </x:c>
      <x:c r="B26" s="41" t="s">
        <x:v>342</x:v>
      </x:c>
      <x:c r="C26" s="41" t="s">
        <x:v>343</x:v>
      </x:c>
      <x:c r="D26" s="41" t="s">
        <x:v>289</x:v>
      </x:c>
      <x:c r="E26" s="42" t="s">
        <x:v>344</x:v>
      </x:c>
    </x:row>
    <x:row r="27" ht="15" hidden="0">
      <x:c r="A27" s="41" t="s">
        <x:v>345</x:v>
      </x:c>
      <x:c r="B27" s="41" t="s">
        <x:v>346</x:v>
      </x:c>
      <x:c r="C27" s="41" t="s">
        <x:v>347</x:v>
      </x:c>
      <x:c r="D27" s="41" t="s">
        <x:v>348</x:v>
      </x:c>
      <x:c r="E27" s="42" t="s">
        <x:v>349</x:v>
      </x:c>
    </x:row>
    <x:row r="28" ht="15" hidden="0">
      <x:c r="A28" s="41" t="s">
        <x:v>345</x:v>
      </x:c>
      <x:c r="B28" s="41" t="s">
        <x:v>350</x:v>
      </x:c>
      <x:c r="C28" s="41" t="s">
        <x:v>351</x:v>
      </x:c>
      <x:c r="D28" s="41" t="s">
        <x:v>348</x:v>
      </x:c>
      <x:c r="E28" s="42" t="s">
        <x:v>349</x:v>
      </x:c>
    </x:row>
    <x:row r="29" ht="22.350000381469727" hidden="0">
      <x:c r="A29" s="41" t="s">
        <x:v>345</x:v>
      </x:c>
      <x:c r="B29" s="41" t="s">
        <x:v>352</x:v>
      </x:c>
      <x:c r="C29" s="41" t="s">
        <x:v>353</x:v>
      </x:c>
      <x:c r="D29" s="41" t="s">
        <x:v>354</x:v>
      </x:c>
      <x:c r="E29" s="42" t="s">
        <x:v>355</x:v>
      </x:c>
    </x:row>
    <x:row r="30" ht="15" hidden="0">
      <x:c r="A30" s="41" t="s">
        <x:v>345</x:v>
      </x:c>
      <x:c r="B30" s="41" t="s">
        <x:v>356</x:v>
      </x:c>
      <x:c r="C30" s="41" t="s">
        <x:v>357</x:v>
      </x:c>
      <x:c r="D30" s="41" t="s">
        <x:v>358</x:v>
      </x:c>
      <x:c r="E30" s="42" t="s">
        <x:v>359</x:v>
      </x:c>
    </x:row>
    <x:row r="31" ht="15" hidden="0">
      <x:c r="A31" s="41" t="s">
        <x:v>345</x:v>
      </x:c>
      <x:c r="B31" s="41" t="s">
        <x:v>360</x:v>
      </x:c>
      <x:c r="C31" s="41" t="s">
        <x:v>361</x:v>
      </x:c>
      <x:c r="D31" s="41" t="s">
        <x:v>362</x:v>
      </x:c>
      <x:c r="E31" s="42" t="s">
        <x:v>359</x:v>
      </x:c>
    </x:row>
    <x:row r="32" ht="15" hidden="0">
      <x:c r="A32" s="41" t="s">
        <x:v>345</x:v>
      </x:c>
      <x:c r="B32" s="41" t="s">
        <x:v>363</x:v>
      </x:c>
      <x:c r="C32" s="41" t="s">
        <x:v>364</x:v>
      </x:c>
      <x:c r="D32" s="41" t="s">
        <x:v>358</x:v>
      </x:c>
      <x:c r="E32" s="42" t="s">
        <x:v>365</x:v>
      </x:c>
    </x:row>
    <x:row r="33" ht="15" hidden="0">
      <x:c r="A33" s="41" t="s">
        <x:v>345</x:v>
      </x:c>
      <x:c r="B33" s="41" t="s">
        <x:v>366</x:v>
      </x:c>
      <x:c r="C33" s="41" t="s">
        <x:v>367</x:v>
      </x:c>
      <x:c r="D33" s="41" t="s">
        <x:v>368</x:v>
      </x:c>
      <x:c r="E33" s="42" t="s">
        <x:v>365</x:v>
      </x:c>
    </x:row>
    <x:row r="34" ht="15" hidden="0">
      <x:c r="A34" s="41" t="s">
        <x:v>345</x:v>
      </x:c>
      <x:c r="B34" s="41" t="s">
        <x:v>369</x:v>
      </x:c>
      <x:c r="C34" s="41" t="s">
        <x:v>370</x:v>
      </x:c>
      <x:c r="D34" s="41" t="s">
        <x:v>371</x:v>
      </x:c>
      <x:c r="E34" s="42" t="s">
        <x:v>372</x:v>
      </x:c>
    </x:row>
    <x:row r="35" ht="15" hidden="0">
      <x:c r="A35" s="41" t="s">
        <x:v>373</x:v>
      </x:c>
      <x:c r="B35" s="41" t="s">
        <x:v>374</x:v>
      </x:c>
      <x:c r="C35" s="41" t="s">
        <x:v>375</x:v>
      </x:c>
      <x:c r="D35" s="41" t="s">
        <x:v>376</x:v>
      </x:c>
      <x:c r="E35" s="42" t="s">
        <x:v>377</x:v>
      </x:c>
    </x:row>
    <x:row r="36" ht="15" hidden="0">
      <x:c r="A36" s="41" t="s">
        <x:v>373</x:v>
      </x:c>
      <x:c r="B36" s="41" t="s">
        <x:v>378</x:v>
      </x:c>
      <x:c r="C36" s="41" t="s">
        <x:v>379</x:v>
      </x:c>
      <x:c r="D36" s="41" t="s">
        <x:v>376</x:v>
      </x:c>
      <x:c r="E36" s="42" t="s">
        <x:v>380</x:v>
      </x:c>
    </x:row>
    <x:row r="37" ht="15" hidden="0">
      <x:c r="A37" s="41" t="s">
        <x:v>373</x:v>
      </x:c>
      <x:c r="B37" s="41" t="s">
        <x:v>381</x:v>
      </x:c>
      <x:c r="C37" s="41" t="s">
        <x:v>382</x:v>
      </x:c>
      <x:c r="D37" s="41" t="s">
        <x:v>376</x:v>
      </x:c>
      <x:c r="E37" s="42" t="s">
        <x:v>383</x:v>
      </x:c>
    </x:row>
    <x:row r="38" ht="15" hidden="0">
      <x:c r="A38" s="41" t="s">
        <x:v>373</x:v>
      </x:c>
      <x:c r="B38" s="41" t="s">
        <x:v>384</x:v>
      </x:c>
      <x:c r="C38" s="41" t="s">
        <x:v>385</x:v>
      </x:c>
      <x:c r="D38" s="41" t="s">
        <x:v>195</x:v>
      </x:c>
      <x:c r="E38" s="42" t="s">
        <x:v>380</x:v>
      </x:c>
    </x:row>
    <x:row r="39" ht="15" hidden="0">
      <x:c r="A39" s="41" t="s">
        <x:v>373</x:v>
      </x:c>
      <x:c r="B39" s="41" t="s">
        <x:v>386</x:v>
      </x:c>
      <x:c r="C39" s="41" t="s">
        <x:v>387</x:v>
      </x:c>
      <x:c r="D39" s="41" t="s">
        <x:v>388</x:v>
      </x:c>
      <x:c r="E39" s="42" t="s">
        <x:v>389</x:v>
      </x:c>
    </x:row>
    <x:row r="40" ht="15" hidden="0">
      <x:c r="A40" s="41" t="s">
        <x:v>373</x:v>
      </x:c>
      <x:c r="B40" s="41" t="s">
        <x:v>390</x:v>
      </x:c>
      <x:c r="C40" s="41" t="s">
        <x:v>391</x:v>
      </x:c>
      <x:c r="D40" s="41" t="s">
        <x:v>392</x:v>
      </x:c>
      <x:c r="E40" s="42" t="s">
        <x:v>393</x:v>
      </x:c>
    </x:row>
    <x:row r="41" ht="15" hidden="0">
      <x:c r="A41" s="41" t="s">
        <x:v>373</x:v>
      </x:c>
      <x:c r="B41" s="41" t="s">
        <x:v>394</x:v>
      </x:c>
      <x:c r="C41" s="41" t="s">
        <x:v>395</x:v>
      </x:c>
      <x:c r="D41" s="41" t="s">
        <x:v>396</x:v>
      </x:c>
      <x:c r="E41" s="42" t="s">
        <x:v>397</x:v>
      </x:c>
    </x:row>
    <x:row r="43" ht="15" hidden="0">
      <x:c r="A43" s="3" t="s">
        <x:v>398</x:v>
      </x:c>
    </x:row>
  </x:sheetData>
  <x:pageMargins left="0.7" right="0.7" top="0.75" bottom="0.75" header="0.3" footer="0.3"/>
</x:worksheet>
</file>